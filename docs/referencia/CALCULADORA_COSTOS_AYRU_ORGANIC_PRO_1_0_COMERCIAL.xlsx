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8cd26b67c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aa7e937777e4ae5"/>
    <x:sheet xmlns:r="http://schemas.openxmlformats.org/officeDocument/2006/relationships" name="MATERIAS PRIMAS" sheetId="2" r:id="R83657d17c0d0478d"/>
    <x:sheet xmlns:r="http://schemas.openxmlformats.org/officeDocument/2006/relationships" name="PRODUCTOS" sheetId="3" r:id="R3a2ab93d542d452a"/>
    <x:sheet xmlns:r="http://schemas.openxmlformats.org/officeDocument/2006/relationships" name="RECETAS" sheetId="4" r:id="R0eb71145d97b452c"/>
    <x:sheet xmlns:r="http://schemas.openxmlformats.org/officeDocument/2006/relationships" name="OTROS COSTOS" sheetId="5" r:id="R62de7839c5534db2"/>
    <x:sheet xmlns:r="http://schemas.openxmlformats.org/officeDocument/2006/relationships" name="RESUMEN PRODUCTOS" sheetId="6" r:id="R6400bc6091784f48"/>
    <x:sheet xmlns:r="http://schemas.openxmlformats.org/officeDocument/2006/relationships" name="SIMULADOR" sheetId="7" r:id="Rfecc0eb160db4414"/>
    <x:sheet xmlns:r="http://schemas.openxmlformats.org/officeDocument/2006/relationships" name="AYUDA" sheetId="8" r:id="Rea66b99cd21d4196"/>
    <x:sheet xmlns:r="http://schemas.openxmlformats.org/officeDocument/2006/relationships" name="CONVERSIONES" sheetId="9" r:id="R0a50123dce3948d1"/>
    <x:sheet xmlns:r="http://schemas.openxmlformats.org/officeDocument/2006/relationships" name="PANEL GENERAL" sheetId="10" r:id="Rea095f9429434a12"/>
    <x:sheet xmlns:r="http://schemas.openxmlformats.org/officeDocument/2006/relationships" name="LEEME" sheetId="11" r:id="R49f1c919b4384381"/>
  </x:sheets>
  <x:definedNames>
    <x:definedName name="ListaProductos">PRODUCTOS!$B$6:$B$35</x:definedName>
  </x:definedNames>
</x:workbook>
</file>

<file path=xl/sharedStrings.xml><?xml version="1.0" encoding="utf-8"?>
<x:sst xmlns:x="http://schemas.openxmlformats.org/spreadsheetml/2006/main">
  <x:si>
    <x:t xml:space="preserve">Calculadora multiproducto para hasta 30 recetas de jabonería artesanal</x:t>
  </x:si>
  <x:si>
    <x:t xml:space="preserve">FLUJO DE TRABAJO</x:t>
  </x:si>
  <x:si>
    <x:t xml:space="preserve">1. Registra una sola vez tus insumos y precios en MATERIAS PRIMAS.</x:t>
  </x:si>
  <x:si>
    <x:t xml:space="preserve">2. Crea hasta 30 productos en PRODUCTOS.</x:t>
  </x:si>
  <x:si>
    <x:t xml:space="preserve">3. Registra cada fórmula en RECETAS usando el código del producto.</x:t>
  </x:si>
  <x:si>
    <x:t xml:space="preserve">4. Registra empaque, mano de obra y demás gastos en OTROS COSTOS.</x:t>
  </x:si>
  <x:si>
    <x:t xml:space="preserve">5. Revisa todos los resultados juntos en RESUMEN PRODUCTOS.</x:t>
  </x:si>
  <x:si>
    <x:t xml:space="preserve">6. En SIMULADOR selecciona cualquier producto y prueba precios o márgenes.</x:t>
  </x:si>
  <x:si>
    <x:t xml:space="preserve">CLAVE</x:t>
  </x:si>
  <x:si>
    <x:t xml:space="preserve">Cuando cambias el precio de un insumo en MATERIAS PRIMAS, los productos que lo usan se recalculan automáticamente.</x:t>
  </x:si>
  <x:si>
    <x:t xml:space="preserve">IMPORTANTE</x:t>
  </x:si>
  <x:si>
    <x:t xml:space="preserve">Las celdas crema son para ingresar datos. Las celdas verdes contienen cálculos automáticos.</x:t>
  </x:si>
  <x:si>
    <x:t xml:space="preserve">MARCA</x:t>
  </x:si>
  <x:si>
    <x:t xml:space="preserve">Desarrollado por AYRU ORGANIC · Herramienta educativa para emprendedores jaboneros.</x:t>
  </x:si>
  <x:si>
    <x:t xml:space="preserve">“Conocer tus costos transforma una receta en una decisión de negocio.”</x:t>
  </x:si>
  <x:si>
    <x:t xml:space="preserve">1. BASE MAESTRA DE MATERIAS PRIMAS</x:t>
  </x:si>
  <x:si>
    <x:t xml:space="preserve">Código insumo</x:t>
  </x:si>
  <x:si>
    <x:t xml:space="preserve">Insumo</x:t>
  </x:si>
  <x:si>
    <x:t xml:space="preserve">Unidad compra</x:t>
  </x:si>
  <x:si>
    <x:t xml:space="preserve">Cantidad comprada</x:t>
  </x:si>
  <x:si>
    <x:t xml:space="preserve">Precio compra</x:t>
  </x:si>
  <x:si>
    <x:t xml:space="preserve">Costo por g/ml/unidad</x:t>
  </x:si>
  <x:si>
    <x:t xml:space="preserve">Proveedor / referencia</x:t>
  </x:si>
  <x:si>
    <x:t xml:space="preserve">Fecha actualización</x:t>
  </x:si>
  <x:si>
    <x:t xml:space="preserve">MP001</x:t>
  </x:si>
  <x:si>
    <x:t xml:space="preserve">Base de glicerina transparente</x:t>
  </x:si>
  <x:si>
    <x:t xml:space="preserve">gr</x:t>
  </x:si>
  <x:si>
    <x:t xml:space="preserve">MP002</x:t>
  </x:si>
  <x:si>
    <x:t xml:space="preserve">Base de glicerina blanca</x:t>
  </x:si>
  <x:si>
    <x:t xml:space="preserve">MP003</x:t>
  </x:si>
  <x:si>
    <x:t xml:space="preserve">Aceite de coco </x:t>
  </x:si>
  <x:si>
    <x:t xml:space="preserve">ml</x:t>
  </x:si>
  <x:si>
    <x:t xml:space="preserve">MP004</x:t>
  </x:si>
  <x:si>
    <x:t xml:space="preserve">Vitamina E</x:t>
  </x:si>
  <x:si>
    <x:t xml:space="preserve">Sachet</x:t>
  </x:si>
  <x:si>
    <x:t xml:space="preserve">MP005</x:t>
  </x:si>
  <x:si>
    <x:t xml:space="preserve">Fragacia miel </x:t>
  </x:si>
  <x:si>
    <x:t xml:space="preserve">MP006</x:t>
  </x:si>
  <x:si>
    <x:t xml:space="preserve">Fragacia Lavanda Vainilla </x:t>
  </x:si>
  <x:si>
    <x:t xml:space="preserve">MP007</x:t>
  </x:si>
  <x:si>
    <x:t xml:space="preserve">Fragacia Cafe</x:t>
  </x:si>
  <x:si>
    <x:t xml:space="preserve">MP008</x:t>
  </x:si>
  <x:si>
    <x:t xml:space="preserve">Fragacia Sandía</x:t>
  </x:si>
  <x:si>
    <x:t xml:space="preserve">MP009</x:t>
  </x:si>
  <x:si>
    <x:t xml:space="preserve">Fragacia Maracuya</x:t>
  </x:si>
  <x:si>
    <x:t xml:space="preserve">MP010</x:t>
  </x:si>
  <x:si>
    <x:t xml:space="preserve">Fragacia Manzanilla</x:t>
  </x:si>
  <x:si>
    <x:t xml:space="preserve">MP011</x:t>
  </x:si>
  <x:si>
    <x:t xml:space="preserve">Fragacia Avena Fresh </x:t>
  </x:si>
  <x:si>
    <x:t xml:space="preserve">MP012</x:t>
  </x:si>
  <x:si>
    <x:t xml:space="preserve">Fragacia Limoncillo </x:t>
  </x:si>
  <x:si>
    <x:t xml:space="preserve">MP013</x:t>
  </x:si>
  <x:si>
    <x:t xml:space="preserve">Fragancia Coco </x:t>
  </x:si>
  <x:si>
    <x:t xml:space="preserve">MP014</x:t>
  </x:si>
  <x:si>
    <x:t xml:space="preserve">Arcilla verde</x:t>
  </x:si>
  <x:si>
    <x:t xml:space="preserve">MP015</x:t>
  </x:si>
  <x:si>
    <x:t xml:space="preserve">Arcilla blanca</x:t>
  </x:si>
  <x:si>
    <x:t xml:space="preserve">MP016</x:t>
  </x:si>
  <x:si>
    <x:t xml:space="preserve">Harina de Avena</x:t>
  </x:si>
  <x:si>
    <x:t xml:space="preserve">MP017</x:t>
  </x:si>
  <x:si>
    <x:t xml:space="preserve">Concha de nacar </x:t>
  </x:si>
  <x:si>
    <x:t xml:space="preserve">MP018</x:t>
  </x:si>
  <x:si>
    <x:t xml:space="preserve">Extracto Aloe Vera</x:t>
  </x:si>
  <x:si>
    <x:t xml:space="preserve">MP019</x:t>
  </x:si>
  <x:si>
    <x:t xml:space="preserve">Extracto Calendula </x:t>
  </x:si>
  <x:si>
    <x:t xml:space="preserve">MP020</x:t>
  </x:si>
  <x:si>
    <x:t xml:space="preserve">Extracto Manzanilla</x:t>
  </x:si>
  <x:si>
    <x:t xml:space="preserve">MP021</x:t>
  </x:si>
  <x:si>
    <x:t xml:space="preserve">Extracto Romero </x:t>
  </x:si>
  <x:si>
    <x:t xml:space="preserve">MP022</x:t>
  </x:si>
  <x:si>
    <x:t xml:space="preserve">Extracto Arroz</x:t>
  </x:si>
  <x:si>
    <x:t xml:space="preserve">MP023</x:t>
  </x:si>
  <x:si>
    <x:t xml:space="preserve">Extracto Avena </x:t>
  </x:si>
  <x:si>
    <x:t xml:space="preserve">MP024</x:t>
  </x:si>
  <x:si>
    <x:t xml:space="preserve">Extracto Colageno </x:t>
  </x:si>
  <x:si>
    <x:t xml:space="preserve">MP025</x:t>
  </x:si>
  <x:si>
    <x:t xml:space="preserve">Extracto de pepido </x:t>
  </x:si>
  <x:si>
    <x:t xml:space="preserve">MP026</x:t>
  </x:si>
  <x:si>
    <x:t xml:space="preserve">Miel de Abejas</x:t>
  </x:si>
  <x:si>
    <x:t xml:space="preserve">MP027</x:t>
  </x:si>
  <x:si>
    <x:t xml:space="preserve">Curcuma</x:t>
  </x:si>
  <x:si>
    <x:t xml:space="preserve">MP028</x:t>
  </x:si>
  <x:si>
    <x:t xml:space="preserve">Alga Espirulina </x:t>
  </x:si>
  <x:si>
    <x:t xml:space="preserve">MP029</x:t>
  </x:si>
  <x:si>
    <x:t xml:space="preserve">Calendula </x:t>
  </x:si>
  <x:si>
    <x:t xml:space="preserve">MP030</x:t>
  </x:si>
  <x:si>
    <x:t xml:space="preserve">Manzanilla </x:t>
  </x:si>
  <x:si>
    <x:t xml:space="preserve">MP031</x:t>
  </x:si>
  <x:si>
    <x:t xml:space="preserve">Romero </x:t>
  </x:si>
  <x:si>
    <x:t xml:space="preserve">MP032</x:t>
  </x:si>
  <x:si>
    <x:t xml:space="preserve">Lavanda</x:t>
  </x:si>
  <x:si>
    <x:t xml:space="preserve">MP033</x:t>
  </x:si>
  <x:si>
    <x:t xml:space="preserve">Harina de Arroz </x:t>
  </x:si>
  <x:si>
    <x:t xml:space="preserve">MP034</x:t>
  </x:si>
  <x:si>
    <x:t xml:space="preserve">Carbon Activado </x:t>
  </x:si>
  <x:si>
    <x:t xml:space="preserve">MP035</x:t>
  </x:si>
  <x:si>
    <x:t xml:space="preserve">Harina de Coco </x:t>
  </x:si>
  <x:si>
    <x:t xml:space="preserve">MP036</x:t>
  </x:si>
  <x:si>
    <x:t xml:space="preserve">Harina de Almendras</x:t>
  </x:si>
  <x:si>
    <x:t xml:space="preserve">MP037</x:t>
  </x:si>
  <x:si>
    <x:t xml:space="preserve">Fragancia coco cremoso </x:t>
  </x:si>
  <x:si>
    <x:t xml:space="preserve">MP038</x:t>
  </x:si>
  <x:si>
    <x:t xml:space="preserve">Mica rosada</x:t>
  </x:si>
  <x:si>
    <x:t xml:space="preserve">MP039</x:t>
  </x:si>
  <x:si>
    <x:t xml:space="preserve">Manteka de karite </x:t>
  </x:si>
  <x:si>
    <x:t xml:space="preserve">MP040</x:t>
  </x:si>
  <x:si>
    <x:t xml:space="preserve">Fragancia de Almedras</x:t>
  </x:si>
  <x:si>
    <x:t xml:space="preserve">MP041</x:t>
  </x:si>
  <x:si>
    <x:t xml:space="preserve">Cristales de Mentol </x:t>
  </x:si>
  <x:si>
    <x:t xml:space="preserve">MP042</x:t>
  </x:si>
  <x:si>
    <x:t xml:space="preserve">Mica azul </x:t>
  </x:si>
  <x:si>
    <x:t xml:space="preserve">MP043</x:t>
  </x:si>
  <x:si>
    <x:t xml:space="preserve">Cafe instananeo </x:t>
  </x:si>
  <x:si>
    <x:t xml:space="preserve">MP044</x:t>
  </x:si>
  <x:si>
    <x:t xml:space="preserve">MP045</x:t>
  </x:si>
  <x:si>
    <x:t xml:space="preserve">MP046</x:t>
  </x:si>
  <x:si>
    <x:t xml:space="preserve">MP047</x:t>
  </x:si>
  <x:si>
    <x:t xml:space="preserve">MP048</x:t>
  </x:si>
  <x:si>
    <x:t xml:space="preserve">2. CATÁLOGO DE PRODUCTOS / RECETAS</x:t>
  </x:si>
  <x:si>
    <x:t xml:space="preserve">Registra aquí hasta 30 productos. El código P01–P30 conecta cada producto con su receta, costos y simulador.</x:t>
  </x:si>
  <x:si>
    <x:t xml:space="preserve">Código</x:t>
  </x:si>
  <x:si>
    <x:t xml:space="preserve">Producto</x:t>
  </x:si>
  <x:si>
    <x:t xml:space="preserve">Unidades/lote</x:t>
  </x:si>
  <x:si>
    <x:t xml:space="preserve">Peso lote (g)</x:t>
  </x:si>
  <x:si>
    <x:t xml:space="preserve">Peso/unidad (g)</x:t>
  </x:si>
  <x:si>
    <x:t xml:space="preserve">Canal de venta</x:t>
  </x:si>
  <x:si>
    <x:t xml:space="preserve">Precio actual</x:t>
  </x:si>
  <x:si>
    <x:t xml:space="preserve">Margen deseado</x:t>
  </x:si>
  <x:si>
    <x:t xml:space="preserve">Costo materias primas</x:t>
  </x:si>
  <x:si>
    <x:t xml:space="preserve">Otros costos</x:t>
  </x:si>
  <x:si>
    <x:t xml:space="preserve">Costo total lote</x:t>
  </x:si>
  <x:si>
    <x:t xml:space="preserve">Costo unitario</x:t>
  </x:si>
  <x:si>
    <x:t xml:space="preserve">Precio sugerido</x:t>
  </x:si>
  <x:si>
    <x:t xml:space="preserve">Utilidad sobre costo</x:t>
  </x:si>
  <x:si>
    <x:t xml:space="preserve">Precio comercial sugerido</x:t>
  </x:si>
  <x:si>
    <x:t xml:space="preserve">P01</x:t>
  </x:si>
  <x:si>
    <x:t xml:space="preserve">Jabón de Café </x:t>
  </x:si>
  <x:si>
    <x:t xml:space="preserve">Venta directa</x:t>
  </x:si>
  <x:si>
    <x:t xml:space="preserve">P02</x:t>
  </x:si>
  <x:si>
    <x:t xml:space="preserve">Jabón de Miel y Avena </x:t>
  </x:si>
  <x:si>
    <x:t xml:space="preserve">P03</x:t>
  </x:si>
  <x:si>
    <x:t xml:space="preserve">Jabón de Mentol </x:t>
  </x:si>
  <x:si>
    <x:t xml:space="preserve">P04</x:t>
  </x:si>
  <x:si>
    <x:t xml:space="preserve">Jabón de Almendras</x:t>
  </x:si>
  <x:si>
    <x:t xml:space="preserve">P05</x:t>
  </x:si>
  <x:si>
    <x:t xml:space="preserve">P06</x:t>
  </x:si>
  <x:si>
    <x:t xml:space="preserve">P07</x:t>
  </x:si>
  <x:si>
    <x:t xml:space="preserve">P08</x:t>
  </x:si>
  <x:si>
    <x:t xml:space="preserve">P09</x:t>
  </x:si>
  <x:si>
    <x:t xml:space="preserve">P10</x:t>
  </x:si>
  <x:si>
    <x:t xml:space="preserve">P11</x:t>
  </x:si>
  <x:si>
    <x:t xml:space="preserve">P12</x:t>
  </x:si>
  <x:si>
    <x:t xml:space="preserve">P13</x:t>
  </x:si>
  <x:si>
    <x:t xml:space="preserve">P14</x:t>
  </x:si>
  <x:si>
    <x:t xml:space="preserve">P15</x:t>
  </x:si>
  <x:si>
    <x:t xml:space="preserve">P16</x:t>
  </x:si>
  <x:si>
    <x:t xml:space="preserve">P17</x:t>
  </x:si>
  <x:si>
    <x:t xml:space="preserve">P18</x:t>
  </x:si>
  <x:si>
    <x:t xml:space="preserve">P19</x:t>
  </x:si>
  <x:si>
    <x:t xml:space="preserve">P20</x:t>
  </x:si>
  <x:si>
    <x:t xml:space="preserve">P21</x:t>
  </x:si>
  <x:si>
    <x:t xml:space="preserve">P22</x:t>
  </x:si>
  <x:si>
    <x:t xml:space="preserve">P23</x:t>
  </x:si>
  <x:si>
    <x:t xml:space="preserve">P24</x:t>
  </x:si>
  <x:si>
    <x:t xml:space="preserve">P25</x:t>
  </x:si>
  <x:si>
    <x:t xml:space="preserve">P26</x:t>
  </x:si>
  <x:si>
    <x:t xml:space="preserve">P27</x:t>
  </x:si>
  <x:si>
    <x:t xml:space="preserve">P28</x:t>
  </x:si>
  <x:si>
    <x:t xml:space="preserve">P29</x:t>
  </x:si>
  <x:si>
    <x:t xml:space="preserve">P30</x:t>
  </x:si>
  <x:si>
    <x:t xml:space="preserve">3. RECETAS · FÓRMULAS DE PRODUCTOS</x:t>
  </x:si>
  <x:si>
    <x:t xml:space="preserve">Usa una fila por ingrediente. Puedes registrar hasta 20 ingredientes por producto (600 líneas en total).</x:t>
  </x:si>
  <x:si>
    <x:t xml:space="preserve">Código producto</x:t>
  </x:si>
  <x:si>
    <x:t xml:space="preserve">Cantidad usada</x:t>
  </x:si>
  <x:si>
    <x:t xml:space="preserve">Unidad</x:t>
  </x:si>
  <x:si>
    <x:t xml:space="preserve">Costo unitario insumo</x:t>
  </x:si>
  <x:si>
    <x:t xml:space="preserve">Costo utilizado</x:t>
  </x:si>
  <x:si>
    <x:t xml:space="preserve">% del lote</x:t>
  </x:si>
  <x:si>
    <x:t xml:space="preserve">Función / observación</x:t>
  </x:si>
  <x:si>
    <x:t xml:space="preserve">4. OTROS COSTOS POR PRODUCTO</x:t>
  </x:si>
  <x:si>
    <x:t xml:space="preserve">Registra costos distintos a la fórmula: empaque, etiqueta, mano de obra, servicios, transporte, comisiones y otros. SÍ = se suma al costo; NO = queda como referencia.</x:t>
  </x:si>
  <x:si>
    <x:t xml:space="preserve">Concepto</x:t>
  </x:si>
  <x:si>
    <x:t xml:space="preserve">Detalle</x:t>
  </x:si>
  <x:si>
    <x:t xml:space="preserve">Costo por unidad/base</x:t>
  </x:si>
  <x:si>
    <x:t xml:space="preserve">Cantidad o factor</x:t>
  </x:si>
  <x:si>
    <x:t xml:space="preserve">Costo total</x:t>
  </x:si>
  <x:si>
    <x:t xml:space="preserve">¿SUMAR AL COSTO?</x:t>
  </x:si>
  <x:si>
    <x:t xml:space="preserve">Observaciones</x:t>
  </x:si>
  <x:si>
    <x:t xml:space="preserve">% sobre ventas</x:t>
  </x:si>
  <x:si>
    <x:t xml:space="preserve">Costo comisión automático</x:t>
  </x:si>
  <x:si>
    <x:t xml:space="preserve">Empaque</x:t>
  </x:si>
  <x:si>
    <x:t xml:space="preserve">Papel Film</x:t>
  </x:si>
  <x:si>
    <x:t xml:space="preserve">Sí</x:t>
  </x:si>
  <x:si>
    <x:t xml:space="preserve">Etiqueta</x:t>
  </x:si>
  <x:si>
    <x:t xml:space="preserve">Etiqueta (2)</x:t>
  </x:si>
  <x:si>
    <x:t xml:space="preserve">Consumibles</x:t>
  </x:si>
  <x:si>
    <x:t xml:space="preserve">Alcohol, cinta pegante</x:t>
  </x:si>
  <x:si>
    <x:t xml:space="preserve">Mano de obra</x:t>
  </x:si>
  <x:si>
    <x:t xml:space="preserve">Horas de trabajo </x:t>
  </x:si>
  <x:si>
    <x:t xml:space="preserve">Servicios</x:t>
  </x:si>
  <x:si>
    <x:t xml:space="preserve">Agua, luz </x:t>
  </x:si>
  <x:si>
    <x:t xml:space="preserve">5. RESUMEN MAESTRO DE PRODUCTOS</x:t>
  </x:si>
  <x:si>
    <x:t xml:space="preserve">Aquí puedes comparar de un vistazo todas tus recetas. Los valores se actualizan con las hojas anteriores.</x:t>
  </x:si>
  <x:si>
    <x:t xml:space="preserve">Costo lote</x:t>
  </x:si>
  <x:si>
    <x:t xml:space="preserve">Unidades</x:t>
  </x:si>
  <x:si>
    <x:t xml:space="preserve">Utilidad/unidad</x:t>
  </x:si>
  <x:si>
    <x:t xml:space="preserve">Margen actual</x:t>
  </x:si>
  <x:si>
    <x:t xml:space="preserve">Diferencia precio</x:t>
  </x:si>
  <x:si>
    <x:t xml:space="preserve">Estado</x:t>
  </x:si>
  <x:si>
    <x:t xml:space="preserve">Precio comercial</x:t>
  </x:si>
  <x:si>
    <x:t xml:space="preserve">6. SIMULADOR DE PRECIO Y RENTABILIDAD</x:t>
  </x:si>
  <x:si>
    <x:t xml:space="preserve">LISTA_PRODUCTOS</x:t>
  </x:si>
  <x:si>
    <x:t xml:space="preserve">Selecciona producto</x:t>
  </x:si>
  <x:si>
    <x:t xml:space="preserve">Indicador</x:t>
  </x:si>
  <x:si>
    <x:t xml:space="preserve">Valor</x:t>
  </x:si>
  <x:si>
    <x:t xml:space="preserve">RESULTADOS DEL ESCENARIO</x:t>
  </x:si>
  <x:si>
    <x:t xml:space="preserve">Ingresos estimados</x:t>
  </x:si>
  <x:si>
    <x:t xml:space="preserve">Costo estimado</x:t>
  </x:si>
  <x:si>
    <x:t xml:space="preserve">Utilidad estimada</x:t>
  </x:si>
  <x:si>
    <x:t xml:space="preserve">Utilidad por unidad</x:t>
  </x:si>
  <x:si>
    <x:t xml:space="preserve">Margen del escenario</x:t>
  </x:si>
  <x:si>
    <x:t xml:space="preserve">Diferencia vs precio actual</x:t>
  </x:si>
  <x:si>
    <x:t xml:space="preserve">Precio a probar</x:t>
  </x:si>
  <x:si>
    <x:t xml:space="preserve">Unidades a vender</x:t>
  </x:si>
  <x:si>
    <x:t xml:space="preserve">COMPARADOR DE ESCENARIOS</x:t>
  </x:si>
  <x:si>
    <x:t xml:space="preserve">Escenario</x:t>
  </x:si>
  <x:si>
    <x:t xml:space="preserve">Precio</x:t>
  </x:si>
  <x:si>
    <x:t xml:space="preserve">Margen</x:t>
  </x:si>
  <x:si>
    <x:t xml:space="preserve">Ingresos</x:t>
  </x:si>
  <x:si>
    <x:t xml:space="preserve">Utilidad total</x:t>
  </x:si>
  <x:si>
    <x:t xml:space="preserve">-5% actual</x:t>
  </x:si>
  <x:si>
    <x:t xml:space="preserve">+5% prueba</x:t>
  </x:si>
  <x:si>
    <x:t xml:space="preserve">Selecciona el producto por su nombre en B4. La calculadora traerá automáticamente costo unitario, precio actual, margen y precio sugerido.</x:t>
  </x:si>
  <x:si>
    <x:t xml:space="preserve">ESCENARIO MAYORISTA</x:t>
  </x:si>
  <x:si>
    <x:t xml:space="preserve">Dato</x:t>
  </x:si>
  <x:si>
    <x:t xml:space="preserve">Este escenario permite probar ventas por cantidad sin modificar el precio actual del producto. Cambia el precio mayorista y la cantidad para comparar la utilidad.</x:t>
  </x:si>
  <x:si>
    <x:t xml:space="preserve">Precio mayorista a probar</x:t>
  </x:si>
  <x:si>
    <x:t xml:space="preserve">Unidades mayoristas</x:t>
  </x:si>
  <x:si>
    <x:t xml:space="preserve">Ingreso mayorista</x:t>
  </x:si>
  <x:si>
    <x:t xml:space="preserve">Utilidad mayorista estimada</x:t>
  </x:si>
  <x:si>
    <x:t xml:space="preserve">GUÍA RÁPIDA · CALCULADORA PRO</x:t>
  </x:si>
  <x:si>
    <x:t xml:space="preserve">MATERIAS PRIMAS</x:t>
  </x:si>
  <x:si>
    <x:t xml:space="preserve">Registra cada insumo una sola vez. Usa la misma unidad de medida que emplearás en tus recetas.</x:t>
  </x:si>
  <x:si>
    <x:t xml:space="preserve">PRODUCTOS</x:t>
  </x:si>
  <x:si>
    <x:t xml:space="preserve">Crea el producto, define unidades del lote, peso, precio actual y margen deseado.</x:t>
  </x:si>
  <x:si>
    <x:t xml:space="preserve">RECETAS</x:t>
  </x:si>
  <x:si>
    <x:t xml:space="preserve">Selecciona código de producto e insumo. El costo se toma automáticamente de Materias Primas.</x:t>
  </x:si>
  <x:si>
    <x:t xml:space="preserve">OTROS COSTOS</x:t>
  </x:si>
  <x:si>
    <x:t xml:space="preserve">Añade empaque, etiqueta, mano de obra, servicios, transporte, comisiones y otros.</x:t>
  </x:si>
  <x:si>
    <x:t xml:space="preserve">RESUMEN</x:t>
  </x:si>
  <x:si>
    <x:t xml:space="preserve">Compara los 30 productos. 'Estado' ayuda a detectar precios que requieren revisión.</x:t>
  </x:si>
  <x:si>
    <x:t xml:space="preserve">SIMULADOR</x:t>
  </x:si>
  <x:si>
    <x:t xml:space="preserve">Selecciona un producto y prueba un precio antes de modificar tu precio real.</x:t>
  </x:si>
  <x:si>
    <x:t xml:space="preserve">MARGEN</x:t>
  </x:si>
  <x:si>
    <x:t xml:space="preserve">La calculadora usa margen sobre el precio de venta: Precio sugerido = Costo unitario ÷ (1 - margen deseado).</x:t>
  </x:si>
  <x:si>
    <x:t xml:space="preserve">RECOMENDACIÓN</x:t>
  </x:si>
  <x:si>
    <x:t xml:space="preserve">Actualiza los precios de tus materias primas periódicamente para mantener vigentes tus costos.</x:t>
  </x:si>
  <x:si>
    <x:t xml:space="preserve">CONVERSIONES</x:t>
  </x:si>
  <x:si>
    <x:t xml:space="preserve">Gramos a cucharadas requiere conocer el peso de una cucharada del ingrediente. Gotas a ml parte de 20 gotas/ml como referencia editable.</x:t>
  </x:si>
  <x:si>
    <x:t xml:space="preserve">MARGEN VS. UTILIDAD</x:t>
  </x:si>
  <x:si>
    <x:t xml:space="preserve">Margen = utilidad ÷ precio de venta. Utilidad sobre costo = utilidad ÷ costo. La calculadora muestra ambos para evitar confusiones.</x:t>
  </x:si>
  <x:si>
    <x:t xml:space="preserve">PRECIO COMERCIAL</x:t>
  </x:si>
  <x:si>
    <x:t xml:space="preserve">Redondea el precio matemático sugerido al siguiente múltiplo de $500. Puedes usarlo como referencia, no como obligación.</x:t>
  </x:si>
  <x:si>
    <x:t xml:space="preserve">COMISIONES</x:t>
  </x:si>
  <x:si>
    <x:t xml:space="preserve">En OTROS COSTOS puedes escribir el porcentaje cobrado sobre ventas. Si el concepto es Comisiones, la calculadora estima ese costo automáticamente.</x:t>
  </x:si>
  <x:si>
    <x:t xml:space="preserve">MAYORISTA</x:t>
  </x:si>
  <x:si>
    <x:t xml:space="preserve">SIMULADOR incluye un escenario separado para probar precio y cantidad mayorista sin alterar el precio actual.</x:t>
  </x:si>
  <x:si>
    <x:t xml:space="preserve">PORCENTAJES</x:t>
  </x:si>
  <x:si>
    <x:t xml:space="preserve">CONVERSIONES calcula rápidamente porcentajes de formulación, por ejemplo 1,5% de 500 g.</x:t>
  </x:si>
  <x:si>
    <x:t xml:space="preserve">7. CONVERSOR PRÁCTICO PARA JABONERÍA</x:t>
  </x:si>
  <x:si>
    <x:t xml:space="preserve">Gramos a cucharadas depende de la densidad del ingrediente. Indica cuántos gramos pesa 1 cucharada del ingrediente que estés usando.</x:t>
  </x:si>
  <x:si>
    <x:t xml:space="preserve">GRAMOS → CUCHARADAS</x:t>
  </x:si>
  <x:si>
    <x:t xml:space="preserve">GOTAS ↔ MILILITROS</x:t>
  </x:si>
  <x:si>
    <x:t xml:space="preserve">Gramos a convertir</x:t>
  </x:si>
  <x:si>
    <x:t xml:space="preserve">Gotas a convertir</x:t>
  </x:si>
  <x:si>
    <x:t xml:space="preserve">Gramos que pesa 1 cucharada</x:t>
  </x:si>
  <x:si>
    <x:t xml:space="preserve">Gotas por 1 ml</x:t>
  </x:si>
  <x:si>
    <x:t xml:space="preserve">Resultado en cucharadas</x:t>
  </x:si>
  <x:si>
    <x:t xml:space="preserve">Resultado en ml</x:t>
  </x:si>
  <x:si>
    <x:t xml:space="preserve">Resultado en cucharaditas (aprox.)</x:t>
  </x:si>
  <x:si>
    <x:t xml:space="preserve">ml a convertir</x:t>
  </x:si>
  <x:si>
    <x:t xml:space="preserve">Ejemplo: si 1 cucharada de un ingrediente pesa 15 g, 30 g equivalen a 2 cucharadas. Para polvos, harinas y arcillas, pesa una cucharada rasa de tu propio ingrediente para una conversión más confiable.</x:t>
  </x:si>
  <x:si>
    <x:t xml:space="preserve">Resultado en gotas</x:t>
  </x:si>
  <x:si>
    <x:t xml:space="preserve">Referencia inicial: 20 gotas = 1 ml. Es aproximada: cambia según gotero, viscosidad y líquido. Si conoces la equivalencia real de tu gotero, cambia “Gotas por 1 ml” y el cálculo se ajustará.</x:t>
  </x:si>
  <x:si>
    <x:t xml:space="preserve">TABLA PERSONAL DE REFERENCIA · PESO DE 1 CUCHARADA</x:t>
  </x:si>
  <x:si>
    <x:t xml:space="preserve">Ingrediente</x:t>
  </x:si>
  <x:si>
    <x:t xml:space="preserve">Peso de 1 cucharada (g)</x:t>
  </x:si>
  <x:si>
    <x:t xml:space="preserve">Fecha de medición</x:t>
  </x:si>
  <x:si>
    <x:t xml:space="preserve">Observación</x:t>
  </x:si>
  <x:si>
    <x:t xml:space="preserve">Construye tu propia referencia pesando una cucharada rasa de los ingredientes que utilizas habitualmente.</x:t>
  </x:si>
  <x:si>
    <x:t xml:space="preserve">PORCENTAJES EN FORMULACIÓN</x:t>
  </x:si>
  <x:si>
    <x:t xml:space="preserve">Peso total de la fórmula (g)</x:t>
  </x:si>
  <x:si>
    <x:t xml:space="preserve">Porcentaje a calcular</x:t>
  </x:si>
  <x:si>
    <x:t xml:space="preserve">Cantidad resultante (g)</x:t>
  </x:si>
  <x:si>
    <x:t xml:space="preserve">Ejemplo</x:t>
  </x:si>
  <x:si>
    <x:t xml:space="preserve">1,5% de 500 g = 7,5 g</x:t>
  </x:si>
  <x:si>
    <x:t xml:space="preserve">PANEL GENERAL · AYRU ORGANIC PRO</x:t>
  </x:si>
  <x:si>
    <x:t xml:space="preserve">Resultado</x:t>
  </x:si>
  <x:si>
    <x:t xml:space="preserve">Este panel sirve como control rápido. No califica si un margen es “bueno” o “malo”; muestra alertas objetivas según los datos ingresados y el margen que cada emprendedor definió.</x:t>
  </x:si>
  <x:si>
    <x:t xml:space="preserve">Productos registrados</x:t>
  </x:si>
  <x:si>
    <x:t xml:space="preserve">Productos con precio actual</x:t>
  </x:si>
  <x:si>
    <x:t xml:space="preserve">Productos bajo costo</x:t>
  </x:si>
  <x:si>
    <x:t xml:space="preserve">Productos bajo precio sugerido</x:t>
  </x:si>
</x:sst>
</file>

<file path=xl/styles.xml><?xml version="1.0" encoding="utf-8"?>
<styleSheet xmlns="http://schemas.openxmlformats.org/spreadsheetml/2006/main">
  <numFmts count="3">
    <numFmt numFmtId="164" formatCode="$ #,##0"/>
    <numFmt numFmtId="165" formatCode="0.0%"/>
    <numFmt numFmtId="166" formatCode="d/m/yy"/>
  </numFmts>
  <fonts count="31">
    <font>
      <sz val="11"/>
      <color rgb="FF000000"/>
      <name val="Carlito"/>
    </font>
    <font>
      <b/>
      <sz val="18"/>
      <color rgb="FF2E302A"/>
      <name val="Aptos"/>
    </font>
    <font>
      <b/>
      <sz val="21"/>
      <color rgb="FF2E302A"/>
      <name val="Aptos"/>
    </font>
    <font>
      <sz val="11"/>
      <color rgb="FF2E302A"/>
      <name val="Aptos"/>
    </font>
    <font>
      <i/>
      <sz val="11"/>
      <color rgb="FF2E302A"/>
      <name val="Aptos"/>
    </font>
    <font>
      <b/>
      <sz val="13"/>
      <color rgb="FF2E302A"/>
      <name val="Aptos"/>
    </font>
    <font>
      <b/>
      <sz val="11"/>
      <color rgb="FF2E302A"/>
      <name val="Aptos"/>
    </font>
    <font>
      <b/>
      <sz val="11"/>
      <color rgb="FFFFFFFF"/>
      <name val="Carlito"/>
    </font>
    <font>
      <color theme="1"/>
      <name val="Carlito"/>
    </font>
    <font>
      <sz val="11"/>
      <color rgb="FF2E302A"/>
      <name val="Arial"/>
    </font>
    <font>
      <b/>
      <i/>
      <sz val="14"/>
      <color rgb="FF2E302A"/>
      <name val="Aptos"/>
    </font>
    <font>
      <b/>
      <sz val="11"/>
      <color rgb="FFFFFFFF"/>
      <name val="Aptos"/>
    </font>
    <font>
      <sz val="11"/>
      <color rgb="FF315B3A"/>
      <name val="Aptos"/>
    </font>
    <font>
      <b/>
      <sz val="11"/>
      <color rgb="FF315B3A"/>
      <name val="Carlito"/>
    </font>
    <font>
      <sz val="11"/>
      <color theme="1"/>
      <name val="Carlito"/>
    </font>
    <font>
      <b/>
      <sz val="11"/>
      <color rgb="FF315B3A"/>
      <name val="Aptos"/>
    </font>
    <font>
      <b/>
      <color rgb="FF315B3A"/>
      <name val="Carlito"/>
    </font>
    <font>
      <b/>
      <i/>
      <color rgb="FF315B3A"/>
      <name val="Carlito"/>
    </font>
    <font>
      <i/>
      <sz val="11"/>
      <color rgb="FF315B3A"/>
      <name val="Aptos"/>
    </font>
    <font>
      <b/>
      <sz val="18"/>
      <color rgb="FFFFFFFF"/>
      <name val="Carlito"/>
    </font>
    <font>
      <i/>
      <color rgb="FF315B3A"/>
      <name val="Carlito"/>
    </font>
    <font>
      <b/>
      <color rgb="FFFFFFFF"/>
      <name val="Carlito"/>
    </font>
    <font>
      <b/>
      <color rgb="FF2E302A"/>
      <name val="Carlito"/>
    </font>
    <font>
      <b/>
      <sz val="11"/>
      <color rgb="FF2E302A"/>
      <name val="Carlito"/>
    </font>
    <font>
      <b/>
      <sz val="18"/>
      <color rgb="FFFFFFFF"/>
      <name val="Carlito"/>
    </font>
    <font>
      <i/>
      <sz val="11"/>
      <color rgb="FF315B3A"/>
      <name val="Carlito"/>
    </font>
    <font>
      <b/>
      <sz val="14"/>
      <color rgb="FF315B3A"/>
      <name val="Carlito"/>
    </font>
    <font>
      <b/>
      <sz val="20"/>
      <color rgb="FFFFFFFF"/>
      <name val="Aptos"/>
    </font>
    <font>
      <b/>
      <sz val="20"/>
      <color rgb="FFFFFFFF"/>
      <name val="Carlito"/>
    </font>
    <font>
      <b/>
      <sz val="12"/>
      <color rgb="FFFFFFFF"/>
      <name val="Aptos"/>
    </font>
    <font>
      <sz val="11"/>
      <color rgb="FF2E302A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F6B26B"/>
      </patternFill>
    </fill>
    <fill>
      <patternFill patternType="solid">
        <fgColor rgb="FF315B3A"/>
      </patternFill>
    </fill>
    <fill>
      <patternFill patternType="solid">
        <fgColor rgb="FFFBF6EC"/>
      </patternFill>
    </fill>
    <fill>
      <patternFill patternType="solid">
        <fgColor rgb="FFEAF0DF"/>
      </patternFill>
    </fill>
    <fill>
      <patternFill patternType="solid">
        <fgColor rgb="FFD86A1C"/>
      </patternFill>
    </fill>
    <fill>
      <patternFill patternType="solid">
        <fgColor rgb="FFFFFDF8"/>
      </patternFill>
    </fill>
    <fill>
      <patternFill patternType="solid">
        <fgColor rgb="FF7B8F52"/>
      </patternFill>
    </fill>
    <fill>
      <patternFill patternType="solid">
        <fgColor rgb="FFF4F1EB"/>
      </patternFill>
    </fill>
    <fill>
      <patternFill patternType="solid">
        <fgColor rgb="FFF7E5D4"/>
      </patternFill>
    </fill>
    <fill>
      <patternFill patternType="solid">
        <fgColor rgb="FFFFF2CC"/>
      </patternFill>
    </fill>
    <fill>
      <patternFill patternType="solid">
        <fgColor rgb="FF315B3A"/>
      </patternFill>
    </fill>
    <fill>
      <patternFill patternType="solid">
        <fgColor rgb="FF7B8F52"/>
      </patternFill>
    </fill>
    <fill>
      <patternFill patternType="solid">
        <fgColor rgb="FFD86A1C"/>
      </patternFill>
    </fill>
    <fill>
      <patternFill patternType="solid">
        <fgColor rgb="FFFBF6EC"/>
      </patternFill>
    </fill>
    <fill>
      <patternFill patternType="solid">
        <fgColor rgb="FFEAF0DF"/>
      </patternFill>
    </fill>
    <fill>
      <patternFill patternType="solid">
        <fgColor rgb="FFFFFDF8"/>
      </patternFill>
    </fill>
  </fills>
  <borders count="1">
    <border/>
  </borders>
  <cellStyleXfs count="1">
    <xf numFmtId="0" fontId="0" fillId="0" borderId="0" applyFont="1" applyAlignment="1"/>
  </cellStyleXfs>
  <cellXfs count="584">
    <xf numFmtId="0" fontId="0" fillId="0" borderId="0" xfId="0" applyFont="1" applyAlignment="1">
      <alignment vertical="bottom" wrapText="0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/>
    <xf numFmtId="0" fontId="4" fillId="4" borderId="0" xfId="0" applyFont="1" applyFill="1" applyAlignment="1">
      <alignment horizontal="center"/>
    </xf>
    <xf numFmtId="0" fontId="3" fillId="7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/>
    </xf>
    <xf numFmtId="0" fontId="9" fillId="7" borderId="0" xfId="0" applyFont="1" applyFill="1" applyAlignment="1">
      <alignment vertical="bottom" wrapText="1"/>
    </xf>
    <xf numFmtId="0" fontId="9" fillId="7" borderId="0" xfId="0" applyFont="1" applyFill="1" applyAlignment="1">
      <alignment vertical="bottom" wrapText="1"/>
    </xf>
    <xf numFmtId="0" fontId="3" fillId="4" borderId="0" xfId="0" applyFont="1" applyFill="1" applyAlignment="1">
      <alignment vertical="center" wrapText="1"/>
    </xf>
    <xf numFmtId="2" fontId="9" fillId="7" borderId="0" xfId="0" applyNumberFormat="1" applyFont="1" applyFill="1" applyAlignment="1">
      <alignment horizontal="right" vertical="bottom" wrapText="1"/>
    </xf>
    <xf numFmtId="0" fontId="3" fillId="7" borderId="0" xfId="0" applyFont="1" applyFill="1" applyAlignment="1">
      <alignment horizontal="right" vertical="bottom" wrapText="1"/>
    </xf>
    <xf numFmtId="0" fontId="6" fillId="8" borderId="0" xfId="0" applyFont="1" applyFill="1" applyAlignment="1">
      <alignment horizontal="center" vertical="center" wrapText="1"/>
    </xf>
    <xf numFmtId="164" fontId="9" fillId="7" borderId="0" xfId="0" applyNumberFormat="1" applyFont="1" applyFill="1" applyAlignment="1">
      <alignment horizontal="right" vertical="bottom" wrapText="1"/>
    </xf>
    <xf numFmtId="0" fontId="9" fillId="7" borderId="0" xfId="0" applyFont="1" applyFill="1" applyAlignment="1">
      <alignment vertical="center" wrapText="1"/>
    </xf>
    <xf numFmtId="164" fontId="9" fillId="7" borderId="0" xfId="0" applyNumberFormat="1" applyFont="1" applyFill="1" applyAlignment="1">
      <alignment vertical="center" wrapText="1"/>
    </xf>
    <xf numFmtId="165" fontId="9" fillId="7" borderId="0" xfId="0" applyNumberFormat="1" applyFont="1" applyFill="1" applyAlignment="1">
      <alignment vertical="center" wrapText="1"/>
    </xf>
    <xf numFmtId="164" fontId="6" fillId="5" borderId="0" xfId="0" applyNumberFormat="1" applyFont="1" applyFill="1"/>
    <xf numFmtId="166" fontId="9" fillId="7" borderId="0" xfId="0" applyNumberFormat="1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9" fillId="7" borderId="0" xfId="0" applyFont="1" applyFill="1" applyAlignment="1">
      <alignment horizontal="right" vertical="bottom" wrapText="1"/>
    </xf>
    <xf numFmtId="0" fontId="10" fillId="10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bottom" wrapText="1"/>
    </xf>
    <xf numFmtId="0" fontId="11" fillId="6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right" vertical="bottom" wrapText="1"/>
    </xf>
    <xf numFmtId="0" fontId="12" fillId="4" borderId="0" xfId="0" applyFont="1" applyFill="1" applyAlignment="1">
      <alignment horizontal="center" vertical="center" wrapText="1"/>
    </xf>
    <xf numFmtId="164" fontId="3" fillId="5" borderId="0" xfId="0" applyNumberFormat="1" applyFont="1" applyFill="1"/>
    <xf numFmtId="165" fontId="13" fillId="5" borderId="0" xfId="0" applyNumberFormat="1" applyFont="1" applyFill="1"/>
    <xf numFmtId="164" fontId="13" fillId="5" borderId="0" xfId="0" applyNumberFormat="1" applyFont="1" applyFill="1"/>
    <xf numFmtId="165" fontId="3" fillId="5" borderId="0" xfId="0" applyNumberFormat="1" applyFont="1" applyFill="1"/>
    <xf numFmtId="2" fontId="9" fillId="7" borderId="0" xfId="0" applyNumberFormat="1" applyFont="1" applyFill="1" applyAlignment="1">
      <alignment horizontal="right" vertical="bottom" wrapText="1"/>
    </xf>
    <xf numFmtId="164" fontId="3" fillId="7" borderId="0" xfId="0" applyNumberFormat="1" applyFont="1" applyFill="1" applyAlignment="1">
      <alignment vertical="center" wrapText="1"/>
    </xf>
    <xf numFmtId="165" fontId="3" fillId="7" borderId="0" xfId="0" applyNumberFormat="1" applyFont="1" applyFill="1" applyAlignment="1">
      <alignment vertical="center" wrapText="1"/>
    </xf>
    <xf numFmtId="2" fontId="3" fillId="7" borderId="0" xfId="0" applyNumberFormat="1" applyFont="1" applyFill="1" applyAlignment="1">
      <alignment vertical="center" wrapText="1"/>
    </xf>
    <xf numFmtId="0" fontId="14" fillId="0" borderId="0" xfId="0" applyFont="1"/>
    <xf numFmtId="0" fontId="1" fillId="3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wrapText="1"/>
    </xf>
    <xf numFmtId="0" fontId="3" fillId="9" borderId="0" xfId="0" applyFont="1" applyFill="1"/>
    <xf numFmtId="0" fontId="9" fillId="7" borderId="0" xfId="0" applyFont="1" applyFill="1" applyAlignment="1">
      <alignment horizontal="right" vertical="bottom" wrapText="1"/>
    </xf>
    <xf numFmtId="165" fontId="3" fillId="7" borderId="0" xfId="0" applyNumberFormat="1" applyFont="1" applyFill="1"/>
    <xf numFmtId="164" fontId="15" fillId="5" borderId="0" xfId="0" applyNumberFormat="1" applyFont="1" applyFill="1"/>
    <xf numFmtId="0" fontId="11" fillId="2" borderId="0" xfId="0" applyFont="1" applyFill="1" applyAlignment="1">
      <alignment horizontal="center" wrapText="1"/>
    </xf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0" fontId="16" fillId="11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5" borderId="0" xfId="0" applyFont="1" applyFill="1"/>
    <xf numFmtId="165" fontId="6" fillId="5" borderId="0" xfId="0" applyNumberFormat="1" applyFont="1" applyFill="1"/>
    <xf numFmtId="0" fontId="17" fillId="4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 wrapText="1"/>
    </xf>
    <xf numFmtId="164" fontId="3" fillId="7" borderId="0" xfId="0" applyNumberFormat="1" applyFont="1" applyFill="1"/>
    <xf numFmtId="0" fontId="16" fillId="5" borderId="0" xfId="0" applyFont="1" applyFill="1"/>
    <xf numFmtId="0" fontId="3" fillId="4" borderId="0" xfId="0" applyFont="1" applyFill="1" applyAlignment="1">
      <alignment wrapText="1"/>
    </xf>
    <xf numFmtId="0" fontId="15" fillId="5" borderId="0" xfId="0" applyFont="1" applyFill="1"/>
    <xf numFmtId="0" fontId="19" fillId="3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14" fillId="7" borderId="0" xfId="0" applyFont="1" applyFill="1"/>
    <xf numFmtId="2" fontId="16" fillId="5" borderId="0" xfId="0" applyNumberFormat="1" applyFont="1" applyFill="1"/>
    <xf numFmtId="0" fontId="14" fillId="10" borderId="0" xfId="0" applyFont="1" applyFill="1" applyAlignment="1">
      <alignment vertical="center" wrapText="1"/>
    </xf>
    <xf numFmtId="0" fontId="21" fillId="3" borderId="0" xfId="0" applyFont="1" applyFill="1" applyAlignment="1">
      <alignment horizontal="center"/>
    </xf>
    <xf numFmtId="0" fontId="21" fillId="8" borderId="0" xfId="0" applyFont="1" applyFill="1"/>
    <xf numFmtId="0" fontId="20" fillId="4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/>
    </xf>
    <xf numFmtId="0" fontId="23" fillId="0" borderId="0" xfId="0" applyFont="1"/>
    <xf numFmtId="165" fontId="14" fillId="7" borderId="0" xfId="0" applyNumberFormat="1" applyFont="1" applyFill="1"/>
    <xf numFmtId="2" fontId="13" fillId="5" borderId="0" xfId="0" applyNumberFormat="1" applyFont="1" applyFill="1"/>
    <xf numFmtId="0" fontId="8" fillId="0" borderId="0" xfId="0" applyFont="1"/>
    <xf numFmtId="0" fontId="24" fillId="3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/>
    </xf>
    <xf numFmtId="0" fontId="0" fillId="0" borderId="0" xfId="0" applyFont="1" applyAlignment="1">
      <alignment vertical="bottom" wrapText="0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4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/>
    <xf numFmtId="0" fontId="4" fillId="4" borderId="0" xfId="0" applyFont="1" applyFill="1" applyAlignment="1">
      <alignment horizontal="center"/>
    </xf>
    <xf numFmtId="0" fontId="3" fillId="7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/>
    </xf>
    <xf numFmtId="0" fontId="9" fillId="7" borderId="0" xfId="0" applyFont="1" applyFill="1" applyAlignment="1">
      <alignment vertical="bottom" wrapText="1"/>
    </xf>
    <xf numFmtId="0" fontId="9" fillId="7" borderId="0" xfId="0" applyFont="1" applyFill="1" applyAlignment="1">
      <alignment vertical="bottom" wrapText="1"/>
    </xf>
    <xf numFmtId="0" fontId="3" fillId="4" borderId="0" xfId="0" applyFont="1" applyFill="1" applyAlignment="1">
      <alignment vertical="center" wrapText="1"/>
    </xf>
    <xf numFmtId="2" fontId="9" fillId="7" borderId="0" xfId="0" applyNumberFormat="1" applyFont="1" applyFill="1" applyAlignment="1">
      <alignment horizontal="right" vertical="bottom" wrapText="1"/>
    </xf>
    <xf numFmtId="0" fontId="3" fillId="7" borderId="0" xfId="0" applyFont="1" applyFill="1" applyAlignment="1">
      <alignment horizontal="right" vertical="bottom" wrapText="1"/>
    </xf>
    <xf numFmtId="0" fontId="6" fillId="8" borderId="0" xfId="0" applyFont="1" applyFill="1" applyAlignment="1">
      <alignment horizontal="center" vertical="center" wrapText="1"/>
    </xf>
    <xf numFmtId="164" fontId="9" fillId="7" borderId="0" xfId="0" applyNumberFormat="1" applyFont="1" applyFill="1" applyAlignment="1">
      <alignment horizontal="right" vertical="bottom" wrapText="1"/>
    </xf>
    <xf numFmtId="0" fontId="9" fillId="7" borderId="0" xfId="0" applyFont="1" applyFill="1" applyAlignment="1">
      <alignment vertical="center" wrapText="1"/>
    </xf>
    <xf numFmtId="164" fontId="9" fillId="7" borderId="0" xfId="0" applyNumberFormat="1" applyFont="1" applyFill="1" applyAlignment="1">
      <alignment vertical="center" wrapText="1"/>
    </xf>
    <xf numFmtId="165" fontId="9" fillId="7" borderId="0" xfId="0" applyNumberFormat="1" applyFont="1" applyFill="1" applyAlignment="1">
      <alignment vertical="center" wrapText="1"/>
    </xf>
    <xf numFmtId="164" fontId="6" fillId="5" borderId="0" xfId="0" applyNumberFormat="1" applyFont="1" applyFill="1"/>
    <xf numFmtId="166" fontId="9" fillId="7" borderId="0" xfId="0" applyNumberFormat="1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9" fillId="7" borderId="0" xfId="0" applyFont="1" applyFill="1" applyAlignment="1">
      <alignment horizontal="right" vertical="bottom" wrapText="1"/>
    </xf>
    <xf numFmtId="0" fontId="10" fillId="10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bottom" wrapText="1"/>
    </xf>
    <xf numFmtId="0" fontId="11" fillId="6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right" vertical="bottom" wrapText="1"/>
    </xf>
    <xf numFmtId="0" fontId="12" fillId="4" borderId="0" xfId="0" applyFont="1" applyFill="1" applyAlignment="1">
      <alignment horizontal="center" vertical="center" wrapText="1"/>
    </xf>
    <xf numFmtId="164" fontId="3" fillId="5" borderId="0" xfId="0" applyNumberFormat="1" applyFont="1" applyFill="1"/>
    <xf numFmtId="165" fontId="13" fillId="5" borderId="0" xfId="0" applyNumberFormat="1" applyFont="1" applyFill="1"/>
    <xf numFmtId="164" fontId="13" fillId="5" borderId="0" xfId="0" applyNumberFormat="1" applyFont="1" applyFill="1"/>
    <xf numFmtId="165" fontId="3" fillId="5" borderId="0" xfId="0" applyNumberFormat="1" applyFont="1" applyFill="1"/>
    <xf numFmtId="2" fontId="9" fillId="7" borderId="0" xfId="0" applyNumberFormat="1" applyFont="1" applyFill="1" applyAlignment="1">
      <alignment horizontal="right" vertical="bottom" wrapText="1"/>
    </xf>
    <xf numFmtId="164" fontId="3" fillId="7" borderId="0" xfId="0" applyNumberFormat="1" applyFont="1" applyFill="1" applyAlignment="1">
      <alignment vertical="center" wrapText="1"/>
    </xf>
    <xf numFmtId="165" fontId="3" fillId="7" borderId="0" xfId="0" applyNumberFormat="1" applyFont="1" applyFill="1" applyAlignment="1">
      <alignment vertical="center" wrapText="1"/>
    </xf>
    <xf numFmtId="2" fontId="3" fillId="7" borderId="0" xfId="0" applyNumberFormat="1" applyFont="1" applyFill="1" applyAlignment="1">
      <alignment vertical="center" wrapText="1"/>
    </xf>
    <xf numFmtId="0" fontId="14" fillId="0" borderId="0" xfId="0" applyFont="1"/>
    <xf numFmtId="0" fontId="1" fillId="3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wrapText="1"/>
    </xf>
    <xf numFmtId="0" fontId="3" fillId="9" borderId="0" xfId="0" applyFont="1" applyFill="1"/>
    <xf numFmtId="0" fontId="9" fillId="7" borderId="0" xfId="0" applyFont="1" applyFill="1" applyAlignment="1">
      <alignment horizontal="right" vertical="bottom" wrapText="1"/>
    </xf>
    <xf numFmtId="165" fontId="3" fillId="7" borderId="0" xfId="0" applyNumberFormat="1" applyFont="1" applyFill="1"/>
    <xf numFmtId="164" fontId="15" fillId="5" borderId="0" xfId="0" applyNumberFormat="1" applyFont="1" applyFill="1"/>
    <xf numFmtId="0" fontId="11" fillId="2" borderId="0" xfId="0" applyFont="1" applyFill="1" applyAlignment="1">
      <alignment horizontal="center" wrapText="1"/>
    </xf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0" fontId="16" fillId="11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5" borderId="0" xfId="0" applyFont="1" applyFill="1"/>
    <xf numFmtId="165" fontId="6" fillId="5" borderId="0" xfId="0" applyNumberFormat="1" applyFont="1" applyFill="1"/>
    <xf numFmtId="0" fontId="17" fillId="4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 wrapText="1"/>
    </xf>
    <xf numFmtId="164" fontId="3" fillId="7" borderId="0" xfId="0" applyNumberFormat="1" applyFont="1" applyFill="1"/>
    <xf numFmtId="0" fontId="16" fillId="5" borderId="0" xfId="0" applyFont="1" applyFill="1"/>
    <xf numFmtId="0" fontId="3" fillId="4" borderId="0" xfId="0" applyFont="1" applyFill="1" applyAlignment="1">
      <alignment wrapText="1"/>
    </xf>
    <xf numFmtId="0" fontId="15" fillId="5" borderId="0" xfId="0" applyFont="1" applyFill="1"/>
    <xf numFmtId="0" fontId="19" fillId="3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14" fillId="7" borderId="0" xfId="0" applyFont="1" applyFill="1"/>
    <xf numFmtId="2" fontId="16" fillId="5" borderId="0" xfId="0" applyNumberFormat="1" applyFont="1" applyFill="1"/>
    <xf numFmtId="0" fontId="14" fillId="10" borderId="0" xfId="0" applyFont="1" applyFill="1" applyAlignment="1">
      <alignment vertical="center" wrapText="1"/>
    </xf>
    <xf numFmtId="0" fontId="21" fillId="3" borderId="0" xfId="0" applyFont="1" applyFill="1" applyAlignment="1">
      <alignment horizontal="center"/>
    </xf>
    <xf numFmtId="0" fontId="21" fillId="8" borderId="0" xfId="0" applyFont="1" applyFill="1"/>
    <xf numFmtId="0" fontId="20" fillId="4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/>
    </xf>
    <xf numFmtId="0" fontId="23" fillId="0" borderId="0" xfId="0" applyFont="1"/>
    <xf numFmtId="165" fontId="14" fillId="7" borderId="0" xfId="0" applyNumberFormat="1" applyFont="1" applyFill="1"/>
    <xf numFmtId="2" fontId="13" fillId="5" borderId="0" xfId="0" applyNumberFormat="1" applyFont="1" applyFill="1"/>
    <xf numFmtId="0" fontId="8" fillId="0" borderId="0" xfId="0" applyFont="1"/>
    <xf numFmtId="0" fontId="24" fillId="3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/>
    </xf>
    <xf numFmtId="0" fontId="0" fillId="0" borderId="0" xfId="0" applyNumberFormat="1" applyFont="1" applyFill="1" applyBorder="1" applyAlignment="1">
      <alignment vertical="bottom" wrapText="0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vertical="center"/>
    </xf>
    <xf numFmtId="0" fontId="6" fillId="6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wrapText="1"/>
    </xf>
    <xf numFmtId="0" fontId="8" fillId="2" borderId="0" xfId="0" applyNumberFormat="1" applyFont="1" applyFill="1" applyBorder="1"/>
    <xf numFmtId="0" fontId="4" fillId="4" borderId="0" xfId="0" applyNumberFormat="1" applyFont="1" applyFill="1" applyBorder="1" applyAlignment="1">
      <alignment horizontal="center"/>
    </xf>
    <xf numFmtId="0" fontId="3" fillId="7" borderId="0" xfId="0" applyNumberFormat="1" applyFont="1" applyFill="1" applyBorder="1" applyAlignment="1">
      <alignment vertical="center" wrapText="1"/>
    </xf>
    <xf numFmtId="0" fontId="6" fillId="5" borderId="0" xfId="0" applyNumberFormat="1" applyFont="1" applyFill="1" applyBorder="1" applyAlignment="1">
      <alignment horizontal="center"/>
    </xf>
    <xf numFmtId="0" fontId="9" fillId="7" borderId="0" xfId="0" applyNumberFormat="1" applyFont="1" applyFill="1" applyBorder="1" applyAlignment="1">
      <alignment vertical="bottom" wrapText="1"/>
    </xf>
    <xf numFmtId="0" fontId="3" fillId="4" borderId="0" xfId="0" applyNumberFormat="1" applyFont="1" applyFill="1" applyBorder="1" applyAlignment="1">
      <alignment vertical="center" wrapText="1"/>
    </xf>
    <xf numFmtId="2" fontId="9" fillId="7" borderId="0" xfId="0" applyNumberFormat="1" applyFont="1" applyFill="1" applyBorder="1" applyAlignment="1">
      <alignment horizontal="right" vertical="bottom" wrapText="1"/>
    </xf>
    <xf numFmtId="0" fontId="3" fillId="7" borderId="0" xfId="0" applyNumberFormat="1" applyFont="1" applyFill="1" applyBorder="1" applyAlignment="1">
      <alignment horizontal="right" vertical="bottom" wrapText="1"/>
    </xf>
    <xf numFmtId="0" fontId="6" fillId="8" borderId="0" xfId="0" applyNumberFormat="1" applyFont="1" applyFill="1" applyBorder="1" applyAlignment="1">
      <alignment horizontal="center" vertical="center" wrapText="1"/>
    </xf>
    <xf numFmtId="164" fontId="9" fillId="7" borderId="0" xfId="0" applyNumberFormat="1" applyFont="1" applyFill="1" applyBorder="1" applyAlignment="1">
      <alignment horizontal="right" vertical="bottom" wrapText="1"/>
    </xf>
    <xf numFmtId="0" fontId="9" fillId="7" borderId="0" xfId="0" applyNumberFormat="1" applyFont="1" applyFill="1" applyBorder="1" applyAlignment="1">
      <alignment vertical="center" wrapText="1"/>
    </xf>
    <xf numFmtId="164" fontId="9" fillId="7" borderId="0" xfId="0" applyNumberFormat="1" applyFont="1" applyFill="1" applyBorder="1" applyAlignment="1">
      <alignment vertical="center" wrapText="1"/>
    </xf>
    <xf numFmtId="165" fontId="9" fillId="7" borderId="0" xfId="0" applyNumberFormat="1" applyFont="1" applyFill="1" applyBorder="1" applyAlignment="1">
      <alignment vertical="center" wrapText="1"/>
    </xf>
    <xf numFmtId="164" fontId="6" fillId="5" borderId="0" xfId="0" applyNumberFormat="1" applyFont="1" applyFill="1" applyBorder="1"/>
    <xf numFmtId="166" fontId="9" fillId="7" borderId="0" xfId="0" applyNumberFormat="1" applyFont="1" applyFill="1" applyBorder="1" applyAlignment="1">
      <alignment vertical="center" wrapText="1"/>
    </xf>
    <xf numFmtId="0" fontId="3" fillId="9" borderId="0" xfId="0" applyNumberFormat="1" applyFont="1" applyFill="1" applyBorder="1" applyAlignment="1">
      <alignment vertical="center" wrapText="1"/>
    </xf>
    <xf numFmtId="0" fontId="9" fillId="7" borderId="0" xfId="0" applyNumberFormat="1" applyFont="1" applyFill="1" applyBorder="1" applyAlignment="1">
      <alignment horizontal="right" vertical="bottom" wrapText="1"/>
    </xf>
    <xf numFmtId="0" fontId="10" fillId="10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vertical="bottom" wrapText="1"/>
    </xf>
    <xf numFmtId="0" fontId="11" fillId="6" borderId="0" xfId="0" applyNumberFormat="1" applyFont="1" applyFill="1" applyBorder="1" applyAlignment="1">
      <alignment horizontal="center"/>
    </xf>
    <xf numFmtId="0" fontId="12" fillId="4" borderId="0" xfId="0" applyNumberFormat="1" applyFont="1" applyFill="1" applyBorder="1" applyAlignment="1">
      <alignment horizontal="center" vertical="center" wrapText="1"/>
    </xf>
    <xf numFmtId="164" fontId="3" fillId="5" borderId="0" xfId="0" applyNumberFormat="1" applyFont="1" applyFill="1" applyBorder="1"/>
    <xf numFmtId="165" fontId="13" fillId="5" borderId="0" xfId="0" applyNumberFormat="1" applyFont="1" applyFill="1" applyBorder="1"/>
    <xf numFmtId="164" fontId="13" fillId="5" borderId="0" xfId="0" applyNumberFormat="1" applyFont="1" applyFill="1" applyBorder="1"/>
    <xf numFmtId="165" fontId="3" fillId="5" borderId="0" xfId="0" applyNumberFormat="1" applyFont="1" applyFill="1" applyBorder="1"/>
    <xf numFmtId="164" fontId="3" fillId="7" borderId="0" xfId="0" applyNumberFormat="1" applyFont="1" applyFill="1" applyBorder="1" applyAlignment="1">
      <alignment vertical="center" wrapText="1"/>
    </xf>
    <xf numFmtId="165" fontId="3" fillId="7" borderId="0" xfId="0" applyNumberFormat="1" applyFont="1" applyFill="1" applyBorder="1" applyAlignment="1">
      <alignment vertical="center" wrapText="1"/>
    </xf>
    <xf numFmtId="2" fontId="3" fillId="7" borderId="0" xfId="0" applyNumberFormat="1" applyFont="1" applyFill="1" applyBorder="1" applyAlignment="1">
      <alignment vertical="center" wrapText="1"/>
    </xf>
    <xf numFmtId="0" fontId="14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0" fontId="11" fillId="6" borderId="0" xfId="0" applyNumberFormat="1" applyFont="1" applyFill="1" applyBorder="1" applyAlignment="1">
      <alignment horizontal="center" wrapText="1"/>
    </xf>
    <xf numFmtId="0" fontId="3" fillId="9" borderId="0" xfId="0" applyNumberFormat="1" applyFont="1" applyFill="1" applyBorder="1"/>
    <xf numFmtId="165" fontId="3" fillId="7" borderId="0" xfId="0" applyNumberFormat="1" applyFont="1" applyFill="1" applyBorder="1"/>
    <xf numFmtId="164" fontId="15" fillId="5" borderId="0" xfId="0" applyNumberFormat="1" applyFont="1" applyFill="1" applyBorder="1"/>
    <xf numFmtId="0" fontId="11" fillId="2" borderId="0" xfId="0" applyNumberFormat="1" applyFont="1" applyFill="1" applyBorder="1" applyAlignment="1">
      <alignment horizontal="center" wrapText="1"/>
    </xf>
    <xf numFmtId="164" fontId="3" fillId="0" borderId="0" xfId="0" applyNumberFormat="1" applyFont="1" applyFill="1" applyBorder="1"/>
    <xf numFmtId="2" fontId="3" fillId="0" borderId="0" xfId="0" applyNumberFormat="1" applyFont="1" applyFill="1" applyBorder="1"/>
    <xf numFmtId="165" fontId="3" fillId="0" borderId="0" xfId="0" applyNumberFormat="1" applyFont="1" applyFill="1" applyBorder="1"/>
    <xf numFmtId="0" fontId="16" fillId="11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/>
    <xf numFmtId="165" fontId="6" fillId="5" borderId="0" xfId="0" applyNumberFormat="1" applyFont="1" applyFill="1" applyBorder="1"/>
    <xf numFmtId="0" fontId="17" fillId="4" borderId="0" xfId="0" applyNumberFormat="1" applyFont="1" applyFill="1" applyBorder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/>
    </xf>
    <xf numFmtId="0" fontId="18" fillId="4" borderId="0" xfId="0" applyNumberFormat="1" applyFont="1" applyFill="1" applyBorder="1" applyAlignment="1">
      <alignment horizontal="center" vertical="center" wrapText="1"/>
    </xf>
    <xf numFmtId="164" fontId="3" fillId="7" borderId="0" xfId="0" applyNumberFormat="1" applyFont="1" applyFill="1" applyBorder="1"/>
    <xf numFmtId="0" fontId="16" fillId="5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15" fillId="5" borderId="0" xfId="0" applyNumberFormat="1" applyFont="1" applyFill="1" applyBorder="1"/>
    <xf numFmtId="0" fontId="19" fillId="3" borderId="0" xfId="0" applyNumberFormat="1" applyFont="1" applyFill="1" applyBorder="1" applyAlignment="1">
      <alignment horizontal="center" vertical="center"/>
    </xf>
    <xf numFmtId="0" fontId="20" fillId="4" borderId="0" xfId="0" applyNumberFormat="1" applyFont="1" applyFill="1" applyBorder="1" applyAlignment="1">
      <alignment horizontal="center" vertical="center" wrapText="1"/>
    </xf>
    <xf numFmtId="0" fontId="21" fillId="6" borderId="0" xfId="0" applyNumberFormat="1" applyFont="1" applyFill="1" applyBorder="1" applyAlignment="1">
      <alignment horizontal="center"/>
    </xf>
    <xf numFmtId="0" fontId="21" fillId="8" borderId="0" xfId="0" applyNumberFormat="1" applyFont="1" applyFill="1" applyBorder="1" applyAlignment="1">
      <alignment horizontal="center"/>
    </xf>
    <xf numFmtId="0" fontId="22" fillId="0" borderId="0" xfId="0" applyNumberFormat="1" applyFont="1" applyFill="1" applyBorder="1"/>
    <xf numFmtId="0" fontId="14" fillId="7" borderId="0" xfId="0" applyNumberFormat="1" applyFont="1" applyFill="1" applyBorder="1"/>
    <xf numFmtId="2" fontId="16" fillId="5" borderId="0" xfId="0" applyNumberFormat="1" applyFont="1" applyFill="1" applyBorder="1"/>
    <xf numFmtId="0" fontId="14" fillId="10" borderId="0" xfId="0" applyNumberFormat="1" applyFont="1" applyFill="1" applyBorder="1" applyAlignment="1">
      <alignment vertical="center" wrapText="1"/>
    </xf>
    <xf numFmtId="0" fontId="21" fillId="3" borderId="0" xfId="0" applyNumberFormat="1" applyFont="1" applyFill="1" applyBorder="1" applyAlignment="1">
      <alignment horizontal="center"/>
    </xf>
    <xf numFmtId="0" fontId="21" fillId="8" borderId="0" xfId="0" applyNumberFormat="1" applyFont="1" applyFill="1" applyBorder="1"/>
    <xf numFmtId="0" fontId="20" fillId="4" borderId="0" xfId="0" applyNumberFormat="1" applyFont="1" applyFill="1" applyBorder="1" applyAlignment="1">
      <alignment vertical="center" wrapText="1"/>
    </xf>
    <xf numFmtId="0" fontId="7" fillId="6" borderId="0" xfId="0" applyNumberFormat="1" applyFont="1" applyFill="1" applyBorder="1" applyAlignment="1">
      <alignment horizontal="center"/>
    </xf>
    <xf numFmtId="0" fontId="23" fillId="0" borderId="0" xfId="0" applyNumberFormat="1" applyFont="1" applyFill="1" applyBorder="1"/>
    <xf numFmtId="165" fontId="14" fillId="7" borderId="0" xfId="0" applyNumberFormat="1" applyFont="1" applyFill="1" applyBorder="1"/>
    <xf numFmtId="2" fontId="13" fillId="5" borderId="0" xfId="0" applyNumberFormat="1" applyFont="1" applyFill="1" applyBorder="1"/>
    <xf numFmtId="0" fontId="8" fillId="0" borderId="0" xfId="0" applyNumberFormat="1" applyFont="1" applyFill="1" applyBorder="1"/>
    <xf numFmtId="0" fontId="25" fillId="4" borderId="0" xfId="0" applyNumberFormat="1" applyFont="1" applyFill="1" applyBorder="1" applyAlignment="1">
      <alignment horizontal="center" vertical="center" wrapText="1"/>
    </xf>
    <xf numFmtId="0" fontId="26" fillId="5" borderId="0" xfId="0" applyNumberFormat="1" applyFont="1" applyFill="1" applyBorder="1" applyAlignment="1">
      <alignment horizontal="center"/>
    </xf>
    <xf numFmtId="0" fontId="2" fillId="12" borderId="0" xfId="0" applyNumberFormat="1" applyFont="1" applyFill="1" applyBorder="1" applyAlignment="1">
      <alignment horizontal="center" vertical="center" wrapText="1"/>
    </xf>
    <xf numFmtId="0" fontId="0" fillId="12" borderId="0" xfId="0" applyNumberFormat="1" applyFont="1" applyFill="1" applyBorder="1" applyAlignment="1">
      <alignment vertical="bottom" wrapText="0"/>
    </xf>
    <xf numFmtId="0" fontId="27" fillId="12" borderId="0" xfId="0" applyNumberFormat="1" applyFont="1" applyFill="1" applyBorder="1" applyAlignment="1">
      <alignment horizontal="center" vertical="center" wrapText="1"/>
    </xf>
    <xf numFmtId="0" fontId="28" fillId="12" borderId="0" xfId="0" applyNumberFormat="1" applyFont="1" applyFill="1" applyBorder="1" applyAlignment="1">
      <alignment vertical="bottom" wrapText="0"/>
    </xf>
    <xf numFmtId="0" fontId="28" fillId="12" borderId="0" xfId="0" applyNumberFormat="1" applyFont="1" applyFill="1" applyBorder="1" applyAlignment="1">
      <alignment horizontal="center" vertical="bottom" wrapText="0"/>
    </xf>
    <xf numFmtId="0" fontId="28" fillId="12" borderId="0" xfId="0" applyNumberFormat="1" applyFont="1" applyFill="1" applyBorder="1" applyAlignment="1">
      <alignment horizontal="center" vertical="center" wrapText="0"/>
    </xf>
    <xf numFmtId="0" fontId="3" fillId="13" borderId="0" xfId="0" applyNumberFormat="1" applyFont="1" applyFill="1" applyBorder="1"/>
    <xf numFmtId="0" fontId="29" fillId="13" borderId="0" xfId="0" applyNumberFormat="1" applyFont="1" applyFill="1" applyBorder="1"/>
    <xf numFmtId="0" fontId="29" fillId="13" borderId="0" xfId="0" applyNumberFormat="1" applyFont="1" applyFill="1" applyBorder="1" applyAlignment="1">
      <alignment horizontal="center"/>
    </xf>
    <xf numFmtId="0" fontId="11" fillId="14" borderId="0" xfId="0" applyNumberFormat="1" applyFont="1" applyFill="1" applyBorder="1" applyAlignment="1">
      <alignment horizontal="center"/>
    </xf>
    <xf numFmtId="0" fontId="0" fillId="14" borderId="0" xfId="0" applyNumberFormat="1" applyFont="1" applyFill="1" applyBorder="1" applyAlignment="1">
      <alignment vertical="bottom" wrapText="0"/>
    </xf>
    <xf numFmtId="0" fontId="7" fillId="14" borderId="0" xfId="0" applyNumberFormat="1" applyFont="1" applyFill="1" applyBorder="1" applyAlignment="1">
      <alignment vertical="bottom" wrapText="0"/>
    </xf>
    <xf numFmtId="0" fontId="7" fillId="14" borderId="0" xfId="0" applyNumberFormat="1" applyFont="1" applyFill="1" applyBorder="1" applyAlignment="1">
      <alignment horizontal="center" vertical="bottom" wrapText="0"/>
    </xf>
    <xf numFmtId="0" fontId="12" fillId="15" borderId="0" xfId="0" applyNumberFormat="1" applyFont="1" applyFill="1" applyBorder="1" applyAlignment="1">
      <alignment horizontal="center" vertical="center" wrapText="1"/>
    </xf>
    <xf numFmtId="0" fontId="0" fillId="15" borderId="0" xfId="0" applyNumberFormat="1" applyFont="1" applyFill="1" applyBorder="1" applyAlignment="1">
      <alignment vertical="bottom" wrapText="0"/>
    </xf>
    <xf numFmtId="0" fontId="18" fillId="15" borderId="0" xfId="0" applyNumberFormat="1" applyFont="1" applyFill="1" applyBorder="1" applyAlignment="1">
      <alignment horizontal="center" vertical="center" wrapText="1"/>
    </xf>
    <xf numFmtId="0" fontId="25" fillId="15" borderId="0" xfId="0" applyNumberFormat="1" applyFont="1" applyFill="1" applyBorder="1" applyAlignment="1">
      <alignment vertical="bottom" wrapText="0"/>
    </xf>
    <xf numFmtId="0" fontId="25" fillId="15" borderId="0" xfId="0" applyNumberFormat="1" applyFont="1" applyFill="1" applyBorder="1" applyAlignment="1">
      <alignment vertical="bottom" wrapText="1"/>
    </xf>
    <xf numFmtId="0" fontId="25" fillId="15" borderId="0" xfId="0" applyNumberFormat="1" applyFont="1" applyFill="1" applyBorder="1" applyAlignment="1">
      <alignment horizontal="center" vertical="bottom" wrapText="1"/>
    </xf>
    <xf numFmtId="0" fontId="25" fillId="15" borderId="0" xfId="0" applyNumberFormat="1" applyFont="1" applyFill="1" applyBorder="1" applyAlignment="1">
      <alignment horizontal="center" vertical="center" wrapText="1"/>
    </xf>
    <xf numFmtId="0" fontId="19" fillId="12" borderId="0" xfId="0" applyNumberFormat="1" applyFont="1" applyFill="1" applyBorder="1" applyAlignment="1">
      <alignment vertical="bottom" wrapText="0"/>
    </xf>
    <xf numFmtId="0" fontId="19" fillId="12" borderId="0" xfId="0" applyNumberFormat="1" applyFont="1" applyFill="1" applyBorder="1" applyAlignment="1">
      <alignment horizontal="center" vertical="bottom" wrapText="0"/>
    </xf>
    <xf numFmtId="0" fontId="19" fillId="12" borderId="0" xfId="0" applyNumberFormat="1" applyFont="1" applyFill="1" applyBorder="1" applyAlignment="1">
      <alignment horizontal="center" vertical="center" wrapText="0"/>
    </xf>
    <xf numFmtId="0" fontId="30" fillId="15" borderId="0" xfId="0" applyNumberFormat="1" applyFont="1" applyFill="1" applyBorder="1" applyAlignment="1">
      <alignment vertical="bottom" wrapText="0"/>
    </xf>
    <xf numFmtId="0" fontId="30" fillId="15" borderId="0" xfId="0" applyNumberFormat="1" applyFont="1" applyFill="1" applyBorder="1" applyAlignment="1">
      <alignment vertical="bottom" wrapText="1"/>
    </xf>
    <xf numFmtId="0" fontId="30" fillId="15" borderId="0" xfId="0" applyNumberFormat="1" applyFont="1" applyFill="1" applyBorder="1" applyAlignment="1">
      <alignment vertical="center" wrapText="1"/>
    </xf>
    <xf numFmtId="0" fontId="0" fillId="16" borderId="0" xfId="0" applyNumberFormat="1" applyFont="1" applyFill="1" applyBorder="1" applyAlignment="1">
      <alignment vertical="bottom" wrapText="0"/>
    </xf>
    <xf numFmtId="0" fontId="30" fillId="16" borderId="0" xfId="0" applyNumberFormat="1" applyFont="1" applyFill="1" applyBorder="1" applyAlignment="1">
      <alignment vertical="bottom" wrapText="0"/>
    </xf>
    <xf numFmtId="0" fontId="30" fillId="16" borderId="0" xfId="0" applyNumberFormat="1" applyFont="1" applyFill="1" applyBorder="1" applyAlignment="1">
      <alignment vertical="bottom" wrapText="1"/>
    </xf>
    <xf numFmtId="0" fontId="30" fillId="16" borderId="0" xfId="0" applyNumberFormat="1" applyFont="1" applyFill="1" applyBorder="1" applyAlignment="1">
      <alignment vertical="center" wrapText="1"/>
    </xf>
    <xf numFmtId="0" fontId="0" fillId="13" borderId="0" xfId="0" applyNumberFormat="1" applyFont="1" applyFill="1" applyBorder="1" applyAlignment="1">
      <alignment vertical="bottom" wrapText="0"/>
    </xf>
    <xf numFmtId="0" fontId="7" fillId="13" borderId="0" xfId="0" applyNumberFormat="1" applyFont="1" applyFill="1" applyBorder="1" applyAlignment="1">
      <alignment vertical="bottom" wrapText="0"/>
    </xf>
    <xf numFmtId="0" fontId="7" fillId="13" borderId="0" xfId="0" applyNumberFormat="1" applyFont="1" applyFill="1" applyBorder="1" applyAlignment="1">
      <alignment horizontal="center" vertical="bottom" wrapText="0"/>
    </xf>
    <xf numFmtId="0" fontId="0" fillId="17" borderId="0" xfId="0" applyNumberFormat="1" applyFont="1" applyFill="1" applyBorder="1" applyAlignment="1">
      <alignment vertical="bottom" wrapText="0"/>
    </xf>
    <xf numFmtId="0" fontId="23" fillId="17" borderId="0" xfId="0" applyNumberFormat="1" applyFont="1" applyFill="1" applyBorder="1" applyAlignment="1">
      <alignment vertical="bottom" wrapText="0"/>
    </xf>
    <xf numFmtId="0" fontId="23" fillId="17" borderId="0" xfId="0" applyNumberFormat="1" applyFont="1" applyFill="1" applyBorder="1" applyAlignment="1">
      <alignment vertical="bottom" wrapText="1"/>
    </xf>
    <xf numFmtId="0" fontId="23" fillId="17" borderId="0" xfId="0" applyNumberFormat="1" applyFont="1" applyFill="1" applyBorder="1" applyAlignment="1">
      <alignment horizontal="center" vertical="bottom" wrapText="1"/>
    </xf>
    <xf numFmtId="0" fontId="23" fillId="17" borderId="0" xfId="0" applyNumberFormat="1" applyFont="1" applyFill="1" applyBorder="1" applyAlignment="1">
      <alignment horizontal="center" vertical="center" wrapText="1"/>
    </xf>
    <xf numFmtId="0" fontId="13" fillId="16" borderId="0" xfId="0" applyNumberFormat="1" applyFont="1" applyFill="1" applyBorder="1" applyAlignment="1">
      <alignment vertical="bottom" wrapText="0"/>
    </xf>
    <xf numFmtId="0" fontId="13" fillId="16" borderId="0" xfId="0" applyNumberFormat="1" applyFont="1" applyFill="1" applyBorder="1" applyAlignment="1">
      <alignment vertical="bottom" wrapText="1"/>
    </xf>
    <xf numFmtId="0" fontId="13" fillId="16" borderId="0" xfId="0" applyNumberFormat="1" applyFont="1" applyFill="1" applyBorder="1" applyAlignment="1">
      <alignment horizontal="center" vertical="bottom" wrapText="1"/>
    </xf>
    <xf numFmtId="0" fontId="13" fillId="16" borderId="0" xfId="0" applyNumberFormat="1" applyFont="1" applyFill="1" applyBorder="1" applyAlignment="1">
      <alignment horizontal="center" vertical="center" wrapText="1"/>
    </xf>
    <xf numFmtId="0" fontId="30" fillId="15" borderId="0" xfId="0" applyNumberFormat="1" applyFont="1" applyFill="1" applyBorder="1" applyAlignment="1">
      <alignment horizontal="center" vertical="bottom" wrapText="1"/>
    </xf>
    <xf numFmtId="0" fontId="30" fillId="15" borderId="0" xfId="0" applyNumberFormat="1" applyFont="1" applyFill="1" applyBorder="1" applyAlignment="1">
      <alignment horizontal="center" vertical="center" wrapText="1"/>
    </xf>
    <xf numFmtId="0" fontId="3" fillId="14" borderId="0" xfId="0" applyNumberFormat="1" applyFont="1" applyFill="1" applyBorder="1"/>
    <xf numFmtId="0" fontId="11" fillId="14" borderId="0" xfId="0" applyNumberFormat="1" applyFont="1" applyFill="1" applyBorder="1"/>
    <xf numFmtId="0" fontId="3" fillId="15" borderId="0" xfId="0" applyNumberFormat="1" applyFont="1" applyFill="1" applyBorder="1"/>
    <xf numFmtId="0" fontId="4" fillId="15" borderId="0" xfId="0" applyNumberFormat="1" applyFont="1" applyFill="1" applyBorder="1"/>
    <xf numFmtId="0" fontId="4" fillId="15" borderId="0" xfId="0" applyNumberFormat="1" applyFont="1" applyFill="1" applyBorder="1" applyAlignment="1">
      <alignment wrapText="1"/>
    </xf>
    <xf numFmtId="0" fontId="4" fillId="15" borderId="0" xfId="0" applyNumberFormat="1" applyFont="1" applyFill="1" applyBorder="1" applyAlignment="1">
      <alignment horizontal="center" wrapText="1"/>
    </xf>
    <xf numFmtId="0" fontId="4" fillId="15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 applyProtection="1">
      <alignment vertical="bottom" wrapText="0"/>
      <protection locked="0" hidden="0"/>
    </xf>
    <xf numFmtId="0" fontId="1" fillId="2" borderId="0" xfId="0" applyFont="1" applyFill="1" applyAlignment="1" applyProtection="1">
      <alignment horizontal="center" vertical="center" wrapText="1"/>
      <protection locked="0" hidden="0"/>
    </xf>
    <xf numFmtId="0" fontId="2" fillId="3" borderId="0" xfId="0" applyFont="1" applyFill="1" applyAlignment="1" applyProtection="1">
      <alignment horizontal="center" vertical="center" wrapText="1"/>
      <protection locked="0" hidden="0"/>
    </xf>
    <xf numFmtId="0" fontId="3" fillId="0" borderId="0" xfId="0" applyFont="1" applyProtection="1">
      <protection locked="0" hidden="0"/>
    </xf>
    <xf numFmtId="0" fontId="4" fillId="4" borderId="0" xfId="0" applyFont="1" applyFill="1" applyAlignment="1" applyProtection="1">
      <alignment horizontal="center" wrapText="1"/>
      <protection locked="0" hidden="0"/>
    </xf>
    <xf numFmtId="0" fontId="5" fillId="0" borderId="0" xfId="0" applyFont="1" applyAlignment="1" applyProtection="1">
      <alignment horizontal="center"/>
      <protection locked="0" hidden="0"/>
    </xf>
    <xf numFmtId="0" fontId="6" fillId="2" borderId="0" xfId="0" applyFont="1" applyFill="1" applyAlignment="1" applyProtection="1">
      <alignment horizontal="center" vertical="center" wrapText="1"/>
      <protection locked="0" hidden="0"/>
    </xf>
    <xf numFmtId="0" fontId="6" fillId="5" borderId="0" xfId="0" applyFont="1" applyFill="1" applyAlignment="1" applyProtection="1">
      <alignment vertical="center"/>
      <protection locked="0" hidden="0"/>
    </xf>
    <xf numFmtId="0" fontId="6" fillId="6" borderId="0" xfId="0" applyFont="1" applyFill="1" applyAlignment="1" applyProtection="1">
      <alignment horizontal="center" vertical="center" wrapText="1"/>
      <protection locked="0" hidden="0"/>
    </xf>
    <xf numFmtId="0" fontId="7" fillId="2" borderId="0" xfId="0" applyFont="1" applyFill="1" applyAlignment="1" applyProtection="1">
      <alignment horizontal="center" wrapText="1"/>
      <protection locked="0" hidden="0"/>
    </xf>
    <xf numFmtId="0" fontId="8" fillId="2" borderId="0" xfId="0" applyFont="1" applyFill="1" applyProtection="1">
      <protection locked="0" hidden="0"/>
    </xf>
    <xf numFmtId="0" fontId="4" fillId="4" borderId="0" xfId="0" applyFont="1" applyFill="1" applyAlignment="1" applyProtection="1">
      <alignment horizontal="center"/>
      <protection locked="0" hidden="0"/>
    </xf>
    <xf numFmtId="0" fontId="3" fillId="7" borderId="0" xfId="0" applyFont="1" applyFill="1" applyAlignment="1" applyProtection="1">
      <alignment vertical="center" wrapText="1"/>
      <protection locked="0" hidden="0"/>
    </xf>
    <xf numFmtId="0" fontId="6" fillId="5" borderId="0" xfId="0" applyFont="1" applyFill="1" applyAlignment="1" applyProtection="1">
      <alignment horizontal="center"/>
      <protection locked="0" hidden="0"/>
    </xf>
    <xf numFmtId="0" fontId="9" fillId="7" borderId="0" xfId="0" applyFont="1" applyFill="1" applyAlignment="1" applyProtection="1">
      <alignment vertical="bottom" wrapText="1"/>
      <protection locked="0" hidden="0"/>
    </xf>
    <xf numFmtId="0" fontId="9" fillId="7" borderId="0" xfId="0" applyFont="1" applyFill="1" applyAlignment="1" applyProtection="1">
      <alignment vertical="bottom" wrapText="1"/>
      <protection locked="0" hidden="0"/>
    </xf>
    <xf numFmtId="0" fontId="3" fillId="4" borderId="0" xfId="0" applyFont="1" applyFill="1" applyAlignment="1" applyProtection="1">
      <alignment vertical="center" wrapText="1"/>
      <protection locked="0" hidden="0"/>
    </xf>
    <xf numFmtId="2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3" fillId="7" borderId="0" xfId="0" applyFont="1" applyFill="1" applyAlignment="1" applyProtection="1">
      <alignment horizontal="right" vertical="bottom" wrapText="1"/>
      <protection locked="0" hidden="0"/>
    </xf>
    <xf numFmtId="0" fontId="6" fillId="8" borderId="0" xfId="0" applyFont="1" applyFill="1" applyAlignment="1" applyProtection="1">
      <alignment horizontal="center" vertical="center" wrapText="1"/>
      <protection locked="0" hidden="0"/>
    </xf>
    <xf numFmtId="164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9" fillId="7" borderId="0" xfId="0" applyFont="1" applyFill="1" applyAlignment="1" applyProtection="1">
      <alignment vertical="center" wrapText="1"/>
      <protection locked="0" hidden="0"/>
    </xf>
    <xf numFmtId="164" fontId="9" fillId="7" borderId="0" xfId="0" applyNumberFormat="1" applyFont="1" applyFill="1" applyAlignment="1" applyProtection="1">
      <alignment vertical="center" wrapText="1"/>
      <protection locked="0" hidden="0"/>
    </xf>
    <xf numFmtId="165" fontId="9" fillId="7" borderId="0" xfId="0" applyNumberFormat="1" applyFont="1" applyFill="1" applyAlignment="1" applyProtection="1">
      <alignment vertical="center" wrapText="1"/>
      <protection locked="0" hidden="0"/>
    </xf>
    <xf numFmtId="164" fontId="6" fillId="5" borderId="0" xfId="0" applyNumberFormat="1" applyFont="1" applyFill="1" applyProtection="1">
      <protection locked="0" hidden="0"/>
    </xf>
    <xf numFmtId="166" fontId="9" fillId="7" borderId="0" xfId="0" applyNumberFormat="1" applyFont="1" applyFill="1" applyAlignment="1" applyProtection="1">
      <alignment vertical="center" wrapText="1"/>
      <protection locked="0" hidden="0"/>
    </xf>
    <xf numFmtId="0" fontId="3" fillId="9" borderId="0" xfId="0" applyFont="1" applyFill="1" applyAlignment="1" applyProtection="1">
      <alignment vertical="center" wrapText="1"/>
      <protection locked="0" hidden="0"/>
    </xf>
    <xf numFmtId="0" fontId="9" fillId="7" borderId="0" xfId="0" applyFont="1" applyFill="1" applyAlignment="1" applyProtection="1">
      <alignment horizontal="right" vertical="bottom" wrapText="1"/>
      <protection locked="0" hidden="0"/>
    </xf>
    <xf numFmtId="0" fontId="10" fillId="10" borderId="0" xfId="0" applyFont="1" applyFill="1" applyAlignment="1" applyProtection="1">
      <alignment horizontal="center" vertical="center" wrapText="1"/>
      <protection locked="0" hidden="0"/>
    </xf>
    <xf numFmtId="0" fontId="3" fillId="7" borderId="0" xfId="0" applyFont="1" applyFill="1" applyAlignment="1" applyProtection="1">
      <alignment vertical="bottom" wrapText="1"/>
      <protection locked="0" hidden="0"/>
    </xf>
    <xf numFmtId="0" fontId="11" fillId="6" borderId="0" xfId="0" applyFont="1" applyFill="1" applyAlignment="1" applyProtection="1">
      <alignment horizontal="center"/>
      <protection locked="0" hidden="0"/>
    </xf>
    <xf numFmtId="164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12" fillId="4" borderId="0" xfId="0" applyFont="1" applyFill="1" applyAlignment="1" applyProtection="1">
      <alignment horizontal="center" vertical="center" wrapText="1"/>
      <protection locked="0" hidden="0"/>
    </xf>
    <xf numFmtId="164" fontId="3" fillId="5" borderId="0" xfId="0" applyNumberFormat="1" applyFont="1" applyFill="1" applyProtection="1">
      <protection locked="0" hidden="0"/>
    </xf>
    <xf numFmtId="165" fontId="13" fillId="5" borderId="0" xfId="0" applyNumberFormat="1" applyFont="1" applyFill="1" applyProtection="1">
      <protection locked="0" hidden="0"/>
    </xf>
    <xf numFmtId="164" fontId="13" fillId="5" borderId="0" xfId="0" applyNumberFormat="1" applyFont="1" applyFill="1" applyProtection="1">
      <protection locked="0" hidden="0"/>
    </xf>
    <xf numFmtId="165" fontId="3" fillId="5" borderId="0" xfId="0" applyNumberFormat="1" applyFont="1" applyFill="1" applyProtection="1">
      <protection locked="0" hidden="0"/>
    </xf>
    <xf numFmtId="2" fontId="9" fillId="7" borderId="0" xfId="0" applyNumberFormat="1" applyFont="1" applyFill="1" applyAlignment="1" applyProtection="1">
      <alignment horizontal="right" vertical="bottom" wrapText="1"/>
      <protection locked="0" hidden="0"/>
    </xf>
    <xf numFmtId="164" fontId="3" fillId="7" borderId="0" xfId="0" applyNumberFormat="1" applyFont="1" applyFill="1" applyAlignment="1" applyProtection="1">
      <alignment vertical="center" wrapText="1"/>
      <protection locked="0" hidden="0"/>
    </xf>
    <xf numFmtId="165" fontId="3" fillId="7" borderId="0" xfId="0" applyNumberFormat="1" applyFont="1" applyFill="1" applyAlignment="1" applyProtection="1">
      <alignment vertical="center" wrapText="1"/>
      <protection locked="0" hidden="0"/>
    </xf>
    <xf numFmtId="2" fontId="3" fillId="7" borderId="0" xfId="0" applyNumberFormat="1" applyFont="1" applyFill="1" applyAlignment="1" applyProtection="1">
      <alignment vertical="center" wrapText="1"/>
      <protection locked="0" hidden="0"/>
    </xf>
    <xf numFmtId="0" fontId="14" fillId="0" borderId="0" xfId="0" applyFont="1" applyProtection="1">
      <protection locked="0" hidden="0"/>
    </xf>
    <xf numFmtId="0" fontId="1" fillId="3" borderId="0" xfId="0" applyFont="1" applyFill="1" applyAlignment="1" applyProtection="1">
      <alignment horizontal="center" vertical="center" wrapText="1"/>
      <protection locked="0" hidden="0"/>
    </xf>
    <xf numFmtId="0" fontId="11" fillId="6" borderId="0" xfId="0" applyFont="1" applyFill="1" applyAlignment="1" applyProtection="1">
      <alignment horizontal="center" wrapText="1"/>
      <protection locked="0" hidden="0"/>
    </xf>
    <xf numFmtId="0" fontId="3" fillId="9" borderId="0" xfId="0" applyFont="1" applyFill="1" applyProtection="1">
      <protection locked="0" hidden="0"/>
    </xf>
    <xf numFmtId="0" fontId="9" fillId="7" borderId="0" xfId="0" applyFont="1" applyFill="1" applyAlignment="1" applyProtection="1">
      <alignment horizontal="right" vertical="bottom" wrapText="1"/>
      <protection locked="0" hidden="0"/>
    </xf>
    <xf numFmtId="165" fontId="3" fillId="7" borderId="0" xfId="0" applyNumberFormat="1" applyFont="1" applyFill="1" applyProtection="1">
      <protection locked="0" hidden="0"/>
    </xf>
    <xf numFmtId="164" fontId="15" fillId="5" borderId="0" xfId="0" applyNumberFormat="1" applyFont="1" applyFill="1" applyProtection="1">
      <protection locked="0" hidden="0"/>
    </xf>
    <xf numFmtId="0" fontId="11" fillId="2" borderId="0" xfId="0" applyFont="1" applyFill="1" applyAlignment="1" applyProtection="1">
      <alignment horizontal="center" wrapText="1"/>
      <protection locked="0" hidden="0"/>
    </xf>
    <xf numFmtId="164" fontId="3" fillId="0" borderId="0" xfId="0" applyNumberFormat="1" applyFont="1" applyProtection="1">
      <protection locked="0" hidden="0"/>
    </xf>
    <xf numFmtId="2" fontId="3" fillId="0" borderId="0" xfId="0" applyNumberFormat="1" applyFont="1" applyProtection="1">
      <protection locked="0" hidden="0"/>
    </xf>
    <xf numFmtId="165" fontId="3" fillId="0" borderId="0" xfId="0" applyNumberFormat="1" applyFont="1" applyProtection="1">
      <protection locked="0" hidden="0"/>
    </xf>
    <xf numFmtId="0" fontId="16" fillId="11" borderId="0" xfId="0" applyFont="1" applyFill="1" applyAlignment="1" applyProtection="1">
      <alignment vertical="center" wrapText="1"/>
      <protection locked="0" hidden="0"/>
    </xf>
    <xf numFmtId="0" fontId="6" fillId="3" borderId="0" xfId="0" applyFont="1" applyFill="1" applyAlignment="1" applyProtection="1">
      <alignment horizontal="center" vertical="center" wrapText="1"/>
      <protection locked="0" hidden="0"/>
    </xf>
    <xf numFmtId="0" fontId="6" fillId="5" borderId="0" xfId="0" applyFont="1" applyFill="1" applyProtection="1">
      <protection locked="0" hidden="0"/>
    </xf>
    <xf numFmtId="165" fontId="6" fillId="5" borderId="0" xfId="0" applyNumberFormat="1" applyFont="1" applyFill="1" applyProtection="1">
      <protection locked="0" hidden="0"/>
    </xf>
    <xf numFmtId="0" fontId="17" fillId="4" borderId="0" xfId="0" applyFont="1" applyFill="1" applyAlignment="1" applyProtection="1">
      <alignment horizontal="center" vertical="center" wrapText="1"/>
      <protection locked="0" hidden="0"/>
    </xf>
    <xf numFmtId="0" fontId="11" fillId="8" borderId="0" xfId="0" applyFont="1" applyFill="1" applyAlignment="1" applyProtection="1">
      <alignment horizontal="center"/>
      <protection locked="0" hidden="0"/>
    </xf>
    <xf numFmtId="0" fontId="18" fillId="4" borderId="0" xfId="0" applyFont="1" applyFill="1" applyAlignment="1" applyProtection="1">
      <alignment horizontal="center" vertical="center" wrapText="1"/>
      <protection locked="0" hidden="0"/>
    </xf>
    <xf numFmtId="164" fontId="3" fillId="7" borderId="0" xfId="0" applyNumberFormat="1" applyFont="1" applyFill="1" applyProtection="1">
      <protection locked="0" hidden="0"/>
    </xf>
    <xf numFmtId="0" fontId="16" fillId="5" borderId="0" xfId="0" applyFont="1" applyFill="1" applyProtection="1">
      <protection locked="0" hidden="0"/>
    </xf>
    <xf numFmtId="0" fontId="3" fillId="4" borderId="0" xfId="0" applyFont="1" applyFill="1" applyAlignment="1" applyProtection="1">
      <alignment wrapText="1"/>
      <protection locked="0" hidden="0"/>
    </xf>
    <xf numFmtId="0" fontId="15" fillId="5" borderId="0" xfId="0" applyFont="1" applyFill="1" applyProtection="1">
      <protection locked="0" hidden="0"/>
    </xf>
    <xf numFmtId="0" fontId="19" fillId="3" borderId="0" xfId="0" applyFont="1" applyFill="1" applyAlignment="1" applyProtection="1">
      <alignment horizontal="center" vertical="center"/>
      <protection locked="0" hidden="0"/>
    </xf>
    <xf numFmtId="0" fontId="20" fillId="4" borderId="0" xfId="0" applyFont="1" applyFill="1" applyAlignment="1" applyProtection="1">
      <alignment horizontal="center" vertical="center" wrapText="1"/>
      <protection locked="0" hidden="0"/>
    </xf>
    <xf numFmtId="0" fontId="21" fillId="6" borderId="0" xfId="0" applyFont="1" applyFill="1" applyAlignment="1" applyProtection="1">
      <alignment horizontal="center"/>
      <protection locked="0" hidden="0"/>
    </xf>
    <xf numFmtId="0" fontId="21" fillId="8" borderId="0" xfId="0" applyFont="1" applyFill="1" applyAlignment="1" applyProtection="1">
      <alignment horizontal="center"/>
      <protection locked="0" hidden="0"/>
    </xf>
    <xf numFmtId="0" fontId="22" fillId="0" borderId="0" xfId="0" applyFont="1" applyProtection="1">
      <protection locked="0" hidden="0"/>
    </xf>
    <xf numFmtId="0" fontId="14" fillId="7" borderId="0" xfId="0" applyFont="1" applyFill="1" applyProtection="1">
      <protection locked="0" hidden="0"/>
    </xf>
    <xf numFmtId="2" fontId="16" fillId="5" borderId="0" xfId="0" applyNumberFormat="1" applyFont="1" applyFill="1" applyProtection="1">
      <protection locked="0" hidden="0"/>
    </xf>
    <xf numFmtId="0" fontId="14" fillId="10" borderId="0" xfId="0" applyFont="1" applyFill="1" applyAlignment="1" applyProtection="1">
      <alignment vertical="center" wrapText="1"/>
      <protection locked="0" hidden="0"/>
    </xf>
    <xf numFmtId="0" fontId="21" fillId="3" borderId="0" xfId="0" applyFont="1" applyFill="1" applyAlignment="1" applyProtection="1">
      <alignment horizontal="center"/>
      <protection locked="0" hidden="0"/>
    </xf>
    <xf numFmtId="0" fontId="21" fillId="8" borderId="0" xfId="0" applyFont="1" applyFill="1" applyProtection="1">
      <protection locked="0" hidden="0"/>
    </xf>
    <xf numFmtId="0" fontId="20" fillId="4" borderId="0" xfId="0" applyFont="1" applyFill="1" applyAlignment="1" applyProtection="1">
      <alignment vertical="center" wrapText="1"/>
      <protection locked="0" hidden="0"/>
    </xf>
    <xf numFmtId="0" fontId="7" fillId="6" borderId="0" xfId="0" applyFont="1" applyFill="1" applyAlignment="1" applyProtection="1">
      <alignment horizontal="center"/>
      <protection locked="0" hidden="0"/>
    </xf>
    <xf numFmtId="0" fontId="23" fillId="0" borderId="0" xfId="0" applyFont="1" applyProtection="1">
      <protection locked="0" hidden="0"/>
    </xf>
    <xf numFmtId="165" fontId="14" fillId="7" borderId="0" xfId="0" applyNumberFormat="1" applyFont="1" applyFill="1" applyProtection="1">
      <protection locked="0" hidden="0"/>
    </xf>
    <xf numFmtId="2" fontId="13" fillId="5" borderId="0" xfId="0" applyNumberFormat="1" applyFont="1" applyFill="1" applyProtection="1">
      <protection locked="0" hidden="0"/>
    </xf>
    <xf numFmtId="0" fontId="8" fillId="0" borderId="0" xfId="0" applyFont="1" applyProtection="1">
      <protection locked="0" hidden="0"/>
    </xf>
    <xf numFmtId="0" fontId="24" fillId="3" borderId="0" xfId="0" applyFont="1" applyFill="1" applyAlignment="1" applyProtection="1">
      <alignment horizontal="center" vertical="center"/>
      <protection locked="0" hidden="0"/>
    </xf>
    <xf numFmtId="0" fontId="25" fillId="4" borderId="0" xfId="0" applyFont="1" applyFill="1" applyAlignment="1" applyProtection="1">
      <alignment horizontal="center" vertical="center" wrapText="1"/>
      <protection locked="0" hidden="0"/>
    </xf>
    <xf numFmtId="0" fontId="26" fillId="5" borderId="0" xfId="0" applyFont="1" applyFill="1" applyAlignment="1" applyProtection="1">
      <alignment horizontal="center"/>
      <protection locked="0" hidden="0"/>
    </xf>
    <xf numFmtId="0" fontId="0" fillId="0" borderId="0" xfId="0" applyFont="1" applyAlignment="1" applyProtection="1">
      <alignment vertical="bottom" wrapText="0"/>
      <protection locked="0" hidden="0"/>
    </xf>
    <xf numFmtId="0" fontId="1" fillId="2" borderId="0" xfId="0" applyFont="1" applyFill="1" applyAlignment="1" applyProtection="1">
      <alignment horizontal="center" vertical="center" wrapText="1"/>
      <protection locked="0" hidden="0"/>
    </xf>
    <xf numFmtId="0" fontId="2" fillId="3" borderId="0" xfId="0" applyFont="1" applyFill="1" applyAlignment="1" applyProtection="1">
      <alignment horizontal="center" vertical="center" wrapText="1"/>
      <protection locked="0" hidden="0"/>
    </xf>
    <xf numFmtId="0" fontId="3" fillId="0" borderId="0" xfId="0" applyFont="1" applyProtection="1">
      <protection locked="0" hidden="0"/>
    </xf>
    <xf numFmtId="0" fontId="4" fillId="4" borderId="0" xfId="0" applyFont="1" applyFill="1" applyAlignment="1" applyProtection="1">
      <alignment horizontal="center" wrapText="1"/>
      <protection locked="0" hidden="0"/>
    </xf>
    <xf numFmtId="0" fontId="5" fillId="0" borderId="0" xfId="0" applyFont="1" applyAlignment="1" applyProtection="1">
      <alignment horizontal="center"/>
      <protection locked="0" hidden="0"/>
    </xf>
    <xf numFmtId="0" fontId="6" fillId="2" borderId="0" xfId="0" applyFont="1" applyFill="1" applyAlignment="1" applyProtection="1">
      <alignment horizontal="center" vertical="center" wrapText="1"/>
      <protection locked="0" hidden="0"/>
    </xf>
    <xf numFmtId="0" fontId="6" fillId="5" borderId="0" xfId="0" applyFont="1" applyFill="1" applyAlignment="1" applyProtection="1">
      <alignment vertical="center"/>
      <protection locked="0" hidden="0"/>
    </xf>
    <xf numFmtId="0" fontId="6" fillId="6" borderId="0" xfId="0" applyFont="1" applyFill="1" applyAlignment="1" applyProtection="1">
      <alignment horizontal="center" vertical="center" wrapText="1"/>
      <protection locked="0" hidden="0"/>
    </xf>
    <xf numFmtId="0" fontId="7" fillId="2" borderId="0" xfId="0" applyFont="1" applyFill="1" applyAlignment="1" applyProtection="1">
      <alignment horizontal="center" wrapText="1"/>
      <protection locked="0" hidden="0"/>
    </xf>
    <xf numFmtId="0" fontId="8" fillId="2" borderId="0" xfId="0" applyFont="1" applyFill="1" applyProtection="1">
      <protection locked="0" hidden="0"/>
    </xf>
    <xf numFmtId="0" fontId="4" fillId="4" borderId="0" xfId="0" applyFont="1" applyFill="1" applyAlignment="1" applyProtection="1">
      <alignment horizontal="center"/>
      <protection locked="0" hidden="0"/>
    </xf>
    <xf numFmtId="0" fontId="3" fillId="7" borderId="0" xfId="0" applyFont="1" applyFill="1" applyAlignment="1" applyProtection="1">
      <alignment vertical="center" wrapText="1"/>
      <protection locked="0" hidden="0"/>
    </xf>
    <xf numFmtId="0" fontId="6" fillId="5" borderId="0" xfId="0" applyFont="1" applyFill="1" applyAlignment="1" applyProtection="1">
      <alignment horizontal="center"/>
      <protection locked="0" hidden="0"/>
    </xf>
    <xf numFmtId="0" fontId="9" fillId="7" borderId="0" xfId="0" applyFont="1" applyFill="1" applyAlignment="1" applyProtection="1">
      <alignment vertical="bottom" wrapText="1"/>
      <protection locked="0" hidden="0"/>
    </xf>
    <xf numFmtId="0" fontId="9" fillId="7" borderId="0" xfId="0" applyFont="1" applyFill="1" applyAlignment="1" applyProtection="1">
      <alignment vertical="bottom" wrapText="1"/>
      <protection locked="0" hidden="0"/>
    </xf>
    <xf numFmtId="0" fontId="3" fillId="4" borderId="0" xfId="0" applyFont="1" applyFill="1" applyAlignment="1" applyProtection="1">
      <alignment vertical="center" wrapText="1"/>
      <protection locked="0" hidden="0"/>
    </xf>
    <xf numFmtId="2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3" fillId="7" borderId="0" xfId="0" applyFont="1" applyFill="1" applyAlignment="1" applyProtection="1">
      <alignment horizontal="right" vertical="bottom" wrapText="1"/>
      <protection locked="0" hidden="0"/>
    </xf>
    <xf numFmtId="0" fontId="6" fillId="8" borderId="0" xfId="0" applyFont="1" applyFill="1" applyAlignment="1" applyProtection="1">
      <alignment horizontal="center" vertical="center" wrapText="1"/>
      <protection locked="0" hidden="0"/>
    </xf>
    <xf numFmtId="164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9" fillId="7" borderId="0" xfId="0" applyFont="1" applyFill="1" applyAlignment="1" applyProtection="1">
      <alignment vertical="center" wrapText="1"/>
      <protection locked="0" hidden="0"/>
    </xf>
    <xf numFmtId="164" fontId="9" fillId="7" borderId="0" xfId="0" applyNumberFormat="1" applyFont="1" applyFill="1" applyAlignment="1" applyProtection="1">
      <alignment vertical="center" wrapText="1"/>
      <protection locked="0" hidden="0"/>
    </xf>
    <xf numFmtId="165" fontId="9" fillId="7" borderId="0" xfId="0" applyNumberFormat="1" applyFont="1" applyFill="1" applyAlignment="1" applyProtection="1">
      <alignment vertical="center" wrapText="1"/>
      <protection locked="0" hidden="0"/>
    </xf>
    <xf numFmtId="164" fontId="6" fillId="5" borderId="0" xfId="0" applyNumberFormat="1" applyFont="1" applyFill="1" applyProtection="1">
      <protection locked="0" hidden="0"/>
    </xf>
    <xf numFmtId="166" fontId="9" fillId="7" borderId="0" xfId="0" applyNumberFormat="1" applyFont="1" applyFill="1" applyAlignment="1" applyProtection="1">
      <alignment vertical="center" wrapText="1"/>
      <protection locked="0" hidden="0"/>
    </xf>
    <xf numFmtId="0" fontId="3" fillId="9" borderId="0" xfId="0" applyFont="1" applyFill="1" applyAlignment="1" applyProtection="1">
      <alignment vertical="center" wrapText="1"/>
      <protection locked="0" hidden="0"/>
    </xf>
    <xf numFmtId="0" fontId="9" fillId="7" borderId="0" xfId="0" applyFont="1" applyFill="1" applyAlignment="1" applyProtection="1">
      <alignment horizontal="right" vertical="bottom" wrapText="1"/>
      <protection locked="0" hidden="0"/>
    </xf>
    <xf numFmtId="0" fontId="10" fillId="10" borderId="0" xfId="0" applyFont="1" applyFill="1" applyAlignment="1" applyProtection="1">
      <alignment horizontal="center" vertical="center" wrapText="1"/>
      <protection locked="0" hidden="0"/>
    </xf>
    <xf numFmtId="0" fontId="3" fillId="7" borderId="0" xfId="0" applyFont="1" applyFill="1" applyAlignment="1" applyProtection="1">
      <alignment vertical="bottom" wrapText="1"/>
      <protection locked="0" hidden="0"/>
    </xf>
    <xf numFmtId="0" fontId="11" fillId="6" borderId="0" xfId="0" applyFont="1" applyFill="1" applyAlignment="1" applyProtection="1">
      <alignment horizontal="center"/>
      <protection locked="0" hidden="0"/>
    </xf>
    <xf numFmtId="164" fontId="9" fillId="7" borderId="0" xfId="0" applyNumberFormat="1" applyFont="1" applyFill="1" applyAlignment="1" applyProtection="1">
      <alignment horizontal="right" vertical="bottom" wrapText="1"/>
      <protection locked="0" hidden="0"/>
    </xf>
    <xf numFmtId="0" fontId="12" fillId="4" borderId="0" xfId="0" applyFont="1" applyFill="1" applyAlignment="1" applyProtection="1">
      <alignment horizontal="center" vertical="center" wrapText="1"/>
      <protection locked="0" hidden="0"/>
    </xf>
    <xf numFmtId="164" fontId="3" fillId="5" borderId="0" xfId="0" applyNumberFormat="1" applyFont="1" applyFill="1" applyProtection="1">
      <protection locked="0" hidden="0"/>
    </xf>
    <xf numFmtId="165" fontId="13" fillId="5" borderId="0" xfId="0" applyNumberFormat="1" applyFont="1" applyFill="1" applyProtection="1">
      <protection locked="0" hidden="0"/>
    </xf>
    <xf numFmtId="164" fontId="13" fillId="5" borderId="0" xfId="0" applyNumberFormat="1" applyFont="1" applyFill="1" applyProtection="1">
      <protection locked="0" hidden="0"/>
    </xf>
    <xf numFmtId="165" fontId="3" fillId="5" borderId="0" xfId="0" applyNumberFormat="1" applyFont="1" applyFill="1" applyProtection="1">
      <protection locked="0" hidden="0"/>
    </xf>
    <xf numFmtId="2" fontId="9" fillId="7" borderId="0" xfId="0" applyNumberFormat="1" applyFont="1" applyFill="1" applyAlignment="1" applyProtection="1">
      <alignment horizontal="right" vertical="bottom" wrapText="1"/>
      <protection locked="0" hidden="0"/>
    </xf>
    <xf numFmtId="164" fontId="3" fillId="7" borderId="0" xfId="0" applyNumberFormat="1" applyFont="1" applyFill="1" applyAlignment="1" applyProtection="1">
      <alignment vertical="center" wrapText="1"/>
      <protection locked="0" hidden="0"/>
    </xf>
    <xf numFmtId="165" fontId="3" fillId="7" borderId="0" xfId="0" applyNumberFormat="1" applyFont="1" applyFill="1" applyAlignment="1" applyProtection="1">
      <alignment vertical="center" wrapText="1"/>
      <protection locked="0" hidden="0"/>
    </xf>
    <xf numFmtId="2" fontId="3" fillId="7" borderId="0" xfId="0" applyNumberFormat="1" applyFont="1" applyFill="1" applyAlignment="1" applyProtection="1">
      <alignment vertical="center" wrapText="1"/>
      <protection locked="0" hidden="0"/>
    </xf>
    <xf numFmtId="0" fontId="14" fillId="0" borderId="0" xfId="0" applyFont="1" applyProtection="1">
      <protection locked="0" hidden="0"/>
    </xf>
    <xf numFmtId="0" fontId="1" fillId="3" borderId="0" xfId="0" applyFont="1" applyFill="1" applyAlignment="1" applyProtection="1">
      <alignment horizontal="center" vertical="center" wrapText="1"/>
      <protection locked="0" hidden="0"/>
    </xf>
    <xf numFmtId="0" fontId="11" fillId="6" borderId="0" xfId="0" applyFont="1" applyFill="1" applyAlignment="1" applyProtection="1">
      <alignment horizontal="center" wrapText="1"/>
      <protection locked="0" hidden="0"/>
    </xf>
    <xf numFmtId="0" fontId="3" fillId="9" borderId="0" xfId="0" applyFont="1" applyFill="1" applyProtection="1">
      <protection locked="0" hidden="0"/>
    </xf>
    <xf numFmtId="0" fontId="9" fillId="7" borderId="0" xfId="0" applyFont="1" applyFill="1" applyAlignment="1" applyProtection="1">
      <alignment horizontal="right" vertical="bottom" wrapText="1"/>
      <protection locked="0" hidden="0"/>
    </xf>
    <xf numFmtId="165" fontId="3" fillId="7" borderId="0" xfId="0" applyNumberFormat="1" applyFont="1" applyFill="1" applyProtection="1">
      <protection locked="0" hidden="0"/>
    </xf>
    <xf numFmtId="164" fontId="15" fillId="5" borderId="0" xfId="0" applyNumberFormat="1" applyFont="1" applyFill="1" applyProtection="1">
      <protection locked="0" hidden="0"/>
    </xf>
    <xf numFmtId="0" fontId="11" fillId="2" borderId="0" xfId="0" applyFont="1" applyFill="1" applyAlignment="1" applyProtection="1">
      <alignment horizontal="center" wrapText="1"/>
      <protection locked="0" hidden="0"/>
    </xf>
    <xf numFmtId="164" fontId="3" fillId="0" borderId="0" xfId="0" applyNumberFormat="1" applyFont="1" applyProtection="1">
      <protection locked="0" hidden="0"/>
    </xf>
    <xf numFmtId="2" fontId="3" fillId="0" borderId="0" xfId="0" applyNumberFormat="1" applyFont="1" applyProtection="1">
      <protection locked="0" hidden="0"/>
    </xf>
    <xf numFmtId="165" fontId="3" fillId="0" borderId="0" xfId="0" applyNumberFormat="1" applyFont="1" applyProtection="1">
      <protection locked="0" hidden="0"/>
    </xf>
    <xf numFmtId="0" fontId="16" fillId="11" borderId="0" xfId="0" applyFont="1" applyFill="1" applyAlignment="1" applyProtection="1">
      <alignment vertical="center" wrapText="1"/>
      <protection locked="0" hidden="0"/>
    </xf>
    <xf numFmtId="0" fontId="6" fillId="3" borderId="0" xfId="0" applyFont="1" applyFill="1" applyAlignment="1" applyProtection="1">
      <alignment horizontal="center" vertical="center" wrapText="1"/>
      <protection locked="0" hidden="0"/>
    </xf>
    <xf numFmtId="0" fontId="6" fillId="5" borderId="0" xfId="0" applyFont="1" applyFill="1" applyProtection="1">
      <protection locked="0" hidden="0"/>
    </xf>
    <xf numFmtId="165" fontId="6" fillId="5" borderId="0" xfId="0" applyNumberFormat="1" applyFont="1" applyFill="1" applyProtection="1">
      <protection locked="0" hidden="0"/>
    </xf>
    <xf numFmtId="0" fontId="17" fillId="4" borderId="0" xfId="0" applyFont="1" applyFill="1" applyAlignment="1" applyProtection="1">
      <alignment horizontal="center" vertical="center" wrapText="1"/>
      <protection locked="0" hidden="0"/>
    </xf>
    <xf numFmtId="0" fontId="11" fillId="8" borderId="0" xfId="0" applyFont="1" applyFill="1" applyAlignment="1" applyProtection="1">
      <alignment horizontal="center"/>
      <protection locked="0" hidden="0"/>
    </xf>
    <xf numFmtId="0" fontId="18" fillId="4" borderId="0" xfId="0" applyFont="1" applyFill="1" applyAlignment="1" applyProtection="1">
      <alignment horizontal="center" vertical="center" wrapText="1"/>
      <protection locked="0" hidden="0"/>
    </xf>
    <xf numFmtId="164" fontId="3" fillId="7" borderId="0" xfId="0" applyNumberFormat="1" applyFont="1" applyFill="1" applyProtection="1">
      <protection locked="0" hidden="0"/>
    </xf>
    <xf numFmtId="0" fontId="16" fillId="5" borderId="0" xfId="0" applyFont="1" applyFill="1" applyProtection="1">
      <protection locked="0" hidden="0"/>
    </xf>
    <xf numFmtId="0" fontId="3" fillId="4" borderId="0" xfId="0" applyFont="1" applyFill="1" applyAlignment="1" applyProtection="1">
      <alignment wrapText="1"/>
      <protection locked="0" hidden="0"/>
    </xf>
    <xf numFmtId="0" fontId="15" fillId="5" borderId="0" xfId="0" applyFont="1" applyFill="1" applyProtection="1">
      <protection locked="0" hidden="0"/>
    </xf>
    <xf numFmtId="0" fontId="19" fillId="3" borderId="0" xfId="0" applyFont="1" applyFill="1" applyAlignment="1" applyProtection="1">
      <alignment horizontal="center" vertical="center"/>
      <protection locked="0" hidden="0"/>
    </xf>
    <xf numFmtId="0" fontId="20" fillId="4" borderId="0" xfId="0" applyFont="1" applyFill="1" applyAlignment="1" applyProtection="1">
      <alignment horizontal="center" vertical="center" wrapText="1"/>
      <protection locked="0" hidden="0"/>
    </xf>
    <xf numFmtId="0" fontId="21" fillId="6" borderId="0" xfId="0" applyFont="1" applyFill="1" applyAlignment="1" applyProtection="1">
      <alignment horizontal="center"/>
      <protection locked="0" hidden="0"/>
    </xf>
    <xf numFmtId="0" fontId="21" fillId="8" borderId="0" xfId="0" applyFont="1" applyFill="1" applyAlignment="1" applyProtection="1">
      <alignment horizontal="center"/>
      <protection locked="0" hidden="0"/>
    </xf>
    <xf numFmtId="0" fontId="22" fillId="0" borderId="0" xfId="0" applyFont="1" applyProtection="1">
      <protection locked="0" hidden="0"/>
    </xf>
    <xf numFmtId="0" fontId="14" fillId="7" borderId="0" xfId="0" applyFont="1" applyFill="1" applyProtection="1">
      <protection locked="0" hidden="0"/>
    </xf>
    <xf numFmtId="2" fontId="16" fillId="5" borderId="0" xfId="0" applyNumberFormat="1" applyFont="1" applyFill="1" applyProtection="1">
      <protection locked="0" hidden="0"/>
    </xf>
    <xf numFmtId="0" fontId="14" fillId="10" borderId="0" xfId="0" applyFont="1" applyFill="1" applyAlignment="1" applyProtection="1">
      <alignment vertical="center" wrapText="1"/>
      <protection locked="0" hidden="0"/>
    </xf>
    <xf numFmtId="0" fontId="21" fillId="3" borderId="0" xfId="0" applyFont="1" applyFill="1" applyAlignment="1" applyProtection="1">
      <alignment horizontal="center"/>
      <protection locked="0" hidden="0"/>
    </xf>
    <xf numFmtId="0" fontId="21" fillId="8" borderId="0" xfId="0" applyFont="1" applyFill="1" applyProtection="1">
      <protection locked="0" hidden="0"/>
    </xf>
    <xf numFmtId="0" fontId="20" fillId="4" borderId="0" xfId="0" applyFont="1" applyFill="1" applyAlignment="1" applyProtection="1">
      <alignment vertical="center" wrapText="1"/>
      <protection locked="0" hidden="0"/>
    </xf>
    <xf numFmtId="0" fontId="7" fillId="6" borderId="0" xfId="0" applyFont="1" applyFill="1" applyAlignment="1" applyProtection="1">
      <alignment horizontal="center"/>
      <protection locked="0" hidden="0"/>
    </xf>
    <xf numFmtId="0" fontId="23" fillId="0" borderId="0" xfId="0" applyFont="1" applyProtection="1">
      <protection locked="0" hidden="0"/>
    </xf>
    <xf numFmtId="165" fontId="14" fillId="7" borderId="0" xfId="0" applyNumberFormat="1" applyFont="1" applyFill="1" applyProtection="1">
      <protection locked="0" hidden="0"/>
    </xf>
    <xf numFmtId="2" fontId="13" fillId="5" borderId="0" xfId="0" applyNumberFormat="1" applyFont="1" applyFill="1" applyProtection="1">
      <protection locked="0" hidden="0"/>
    </xf>
    <xf numFmtId="0" fontId="8" fillId="0" borderId="0" xfId="0" applyFont="1" applyProtection="1">
      <protection locked="0" hidden="0"/>
    </xf>
    <xf numFmtId="0" fontId="24" fillId="3" borderId="0" xfId="0" applyFont="1" applyFill="1" applyAlignment="1" applyProtection="1">
      <alignment horizontal="center" vertical="center"/>
      <protection locked="0" hidden="0"/>
    </xf>
    <xf numFmtId="0" fontId="25" fillId="4" borderId="0" xfId="0" applyFont="1" applyFill="1" applyAlignment="1" applyProtection="1">
      <alignment horizontal="center" vertical="center" wrapText="1"/>
      <protection locked="0" hidden="0"/>
    </xf>
    <xf numFmtId="0" fontId="26" fillId="5" borderId="0" xfId="0" applyFont="1" applyFill="1" applyAlignment="1" applyProtection="1">
      <alignment horizontal="center"/>
      <protection locked="0" hidden="0"/>
    </xf>
    <xf numFmtId="0" fontId="0" fillId="0" borderId="0" xfId="0" applyNumberFormat="1" applyFont="1" applyFill="1" applyBorder="1" applyAlignment="1" applyProtection="1">
      <alignment vertical="bottom" wrapText="0"/>
      <protection locked="0" hidden="0"/>
    </xf>
    <xf numFmtId="0" fontId="1" fillId="2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2" fillId="3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3" fillId="0" borderId="0" xfId="0" applyNumberFormat="1" applyFont="1" applyFill="1" applyBorder="1" applyProtection="1">
      <protection locked="0" hidden="0"/>
    </xf>
    <xf numFmtId="0" fontId="4" fillId="4" borderId="0" xfId="0" applyNumberFormat="1" applyFont="1" applyFill="1" applyBorder="1" applyAlignment="1" applyProtection="1">
      <alignment horizontal="center" wrapText="1"/>
      <protection locked="0" hidden="0"/>
    </xf>
    <xf numFmtId="0" fontId="5" fillId="0" borderId="0" xfId="0" applyNumberFormat="1" applyFont="1" applyFill="1" applyBorder="1" applyAlignment="1" applyProtection="1">
      <alignment horizontal="center"/>
      <protection locked="0" hidden="0"/>
    </xf>
    <xf numFmtId="0" fontId="6" fillId="2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6" fillId="5" borderId="0" xfId="0" applyNumberFormat="1" applyFont="1" applyFill="1" applyBorder="1" applyAlignment="1" applyProtection="1">
      <alignment vertical="center"/>
      <protection locked="0" hidden="0"/>
    </xf>
    <xf numFmtId="0" fontId="6" fillId="6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7" fillId="2" borderId="0" xfId="0" applyNumberFormat="1" applyFont="1" applyFill="1" applyBorder="1" applyAlignment="1" applyProtection="1">
      <alignment horizontal="center" wrapText="1"/>
      <protection locked="0" hidden="0"/>
    </xf>
    <xf numFmtId="0" fontId="8" fillId="2" borderId="0" xfId="0" applyNumberFormat="1" applyFont="1" applyFill="1" applyBorder="1" applyProtection="1">
      <protection locked="0" hidden="0"/>
    </xf>
    <xf numFmtId="0" fontId="4" fillId="4" borderId="0" xfId="0" applyNumberFormat="1" applyFont="1" applyFill="1" applyBorder="1" applyAlignment="1" applyProtection="1">
      <alignment horizontal="center"/>
      <protection locked="0" hidden="0"/>
    </xf>
    <xf numFmtId="0" fontId="3" fillId="7" borderId="0" xfId="0" applyNumberFormat="1" applyFont="1" applyFill="1" applyBorder="1" applyAlignment="1" applyProtection="1">
      <alignment vertical="center" wrapText="1"/>
      <protection locked="0" hidden="0"/>
    </xf>
    <xf numFmtId="0" fontId="6" fillId="5" borderId="0" xfId="0" applyNumberFormat="1" applyFont="1" applyFill="1" applyBorder="1" applyAlignment="1" applyProtection="1">
      <alignment horizontal="center"/>
      <protection locked="0" hidden="0"/>
    </xf>
    <xf numFmtId="0" fontId="9" fillId="7" borderId="0" xfId="0" applyNumberFormat="1" applyFont="1" applyFill="1" applyBorder="1" applyAlignment="1" applyProtection="1">
      <alignment vertical="bottom" wrapText="1"/>
      <protection locked="0" hidden="0"/>
    </xf>
    <xf numFmtId="0" fontId="3" fillId="4" borderId="0" xfId="0" applyNumberFormat="1" applyFont="1" applyFill="1" applyBorder="1" applyAlignment="1" applyProtection="1">
      <alignment vertical="center" wrapText="1"/>
      <protection locked="0" hidden="0"/>
    </xf>
    <xf numFmtId="2" fontId="9" fillId="7" borderId="0" xfId="0" applyNumberFormat="1" applyFont="1" applyFill="1" applyBorder="1" applyAlignment="1" applyProtection="1">
      <alignment horizontal="right" vertical="bottom" wrapText="1"/>
      <protection locked="0" hidden="0"/>
    </xf>
    <xf numFmtId="0" fontId="3" fillId="7" borderId="0" xfId="0" applyNumberFormat="1" applyFont="1" applyFill="1" applyBorder="1" applyAlignment="1" applyProtection="1">
      <alignment horizontal="right" vertical="bottom" wrapText="1"/>
      <protection locked="0" hidden="0"/>
    </xf>
    <xf numFmtId="0" fontId="6" fillId="8" borderId="0" xfId="0" applyNumberFormat="1" applyFont="1" applyFill="1" applyBorder="1" applyAlignment="1" applyProtection="1">
      <alignment horizontal="center" vertical="center" wrapText="1"/>
      <protection locked="0" hidden="0"/>
    </xf>
    <xf numFmtId="164" fontId="9" fillId="7" borderId="0" xfId="0" applyNumberFormat="1" applyFont="1" applyFill="1" applyBorder="1" applyAlignment="1" applyProtection="1">
      <alignment horizontal="right" vertical="bottom" wrapText="1"/>
      <protection locked="0" hidden="0"/>
    </xf>
    <xf numFmtId="0" fontId="9" fillId="7" borderId="0" xfId="0" applyNumberFormat="1" applyFont="1" applyFill="1" applyBorder="1" applyAlignment="1" applyProtection="1">
      <alignment vertical="center" wrapText="1"/>
      <protection locked="0" hidden="0"/>
    </xf>
    <xf numFmtId="164" fontId="9" fillId="7" borderId="0" xfId="0" applyNumberFormat="1" applyFont="1" applyFill="1" applyBorder="1" applyAlignment="1" applyProtection="1">
      <alignment vertical="center" wrapText="1"/>
      <protection locked="0" hidden="0"/>
    </xf>
    <xf numFmtId="165" fontId="9" fillId="7" borderId="0" xfId="0" applyNumberFormat="1" applyFont="1" applyFill="1" applyBorder="1" applyAlignment="1" applyProtection="1">
      <alignment vertical="center" wrapText="1"/>
      <protection locked="0" hidden="0"/>
    </xf>
    <xf numFmtId="164" fontId="6" fillId="5" borderId="0" xfId="0" applyNumberFormat="1" applyFont="1" applyFill="1" applyBorder="1" applyProtection="1">
      <protection locked="0" hidden="0"/>
    </xf>
    <xf numFmtId="166" fontId="9" fillId="7" borderId="0" xfId="0" applyNumberFormat="1" applyFont="1" applyFill="1" applyBorder="1" applyAlignment="1" applyProtection="1">
      <alignment vertical="center" wrapText="1"/>
      <protection locked="0" hidden="0"/>
    </xf>
    <xf numFmtId="0" fontId="3" fillId="9" borderId="0" xfId="0" applyNumberFormat="1" applyFont="1" applyFill="1" applyBorder="1" applyAlignment="1" applyProtection="1">
      <alignment vertical="center" wrapText="1"/>
      <protection locked="0" hidden="0"/>
    </xf>
    <xf numFmtId="0" fontId="9" fillId="7" borderId="0" xfId="0" applyNumberFormat="1" applyFont="1" applyFill="1" applyBorder="1" applyAlignment="1" applyProtection="1">
      <alignment horizontal="right" vertical="bottom" wrapText="1"/>
      <protection locked="0" hidden="0"/>
    </xf>
    <xf numFmtId="0" fontId="10" fillId="10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3" fillId="7" borderId="0" xfId="0" applyNumberFormat="1" applyFont="1" applyFill="1" applyBorder="1" applyAlignment="1" applyProtection="1">
      <alignment vertical="bottom" wrapText="1"/>
      <protection locked="0" hidden="0"/>
    </xf>
    <xf numFmtId="0" fontId="11" fillId="6" borderId="0" xfId="0" applyNumberFormat="1" applyFont="1" applyFill="1" applyBorder="1" applyAlignment="1" applyProtection="1">
      <alignment horizontal="center"/>
      <protection locked="0" hidden="0"/>
    </xf>
    <xf numFmtId="0" fontId="12" fillId="4" borderId="0" xfId="0" applyNumberFormat="1" applyFont="1" applyFill="1" applyBorder="1" applyAlignment="1" applyProtection="1">
      <alignment horizontal="center" vertical="center" wrapText="1"/>
      <protection locked="0" hidden="0"/>
    </xf>
    <xf numFmtId="164" fontId="3" fillId="5" borderId="0" xfId="0" applyNumberFormat="1" applyFont="1" applyFill="1" applyBorder="1" applyProtection="1">
      <protection locked="0" hidden="0"/>
    </xf>
    <xf numFmtId="165" fontId="13" fillId="5" borderId="0" xfId="0" applyNumberFormat="1" applyFont="1" applyFill="1" applyBorder="1" applyProtection="1">
      <protection locked="0" hidden="0"/>
    </xf>
    <xf numFmtId="164" fontId="13" fillId="5" borderId="0" xfId="0" applyNumberFormat="1" applyFont="1" applyFill="1" applyBorder="1" applyProtection="1">
      <protection locked="0" hidden="0"/>
    </xf>
    <xf numFmtId="165" fontId="3" fillId="5" borderId="0" xfId="0" applyNumberFormat="1" applyFont="1" applyFill="1" applyBorder="1" applyProtection="1">
      <protection locked="0" hidden="0"/>
    </xf>
    <xf numFmtId="164" fontId="3" fillId="7" borderId="0" xfId="0" applyNumberFormat="1" applyFont="1" applyFill="1" applyBorder="1" applyAlignment="1" applyProtection="1">
      <alignment vertical="center" wrapText="1"/>
      <protection locked="0" hidden="0"/>
    </xf>
    <xf numFmtId="165" fontId="3" fillId="7" borderId="0" xfId="0" applyNumberFormat="1" applyFont="1" applyFill="1" applyBorder="1" applyAlignment="1" applyProtection="1">
      <alignment vertical="center" wrapText="1"/>
      <protection locked="0" hidden="0"/>
    </xf>
    <xf numFmtId="2" fontId="3" fillId="7" borderId="0" xfId="0" applyNumberFormat="1" applyFont="1" applyFill="1" applyBorder="1" applyAlignment="1" applyProtection="1">
      <alignment vertical="center" wrapText="1"/>
      <protection locked="0" hidden="0"/>
    </xf>
    <xf numFmtId="0" fontId="14" fillId="0" borderId="0" xfId="0" applyNumberFormat="1" applyFont="1" applyFill="1" applyBorder="1" applyProtection="1">
      <protection locked="0" hidden="0"/>
    </xf>
    <xf numFmtId="0" fontId="1" fillId="3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11" fillId="6" borderId="0" xfId="0" applyNumberFormat="1" applyFont="1" applyFill="1" applyBorder="1" applyAlignment="1" applyProtection="1">
      <alignment horizontal="center" wrapText="1"/>
      <protection locked="0" hidden="0"/>
    </xf>
    <xf numFmtId="0" fontId="3" fillId="9" borderId="0" xfId="0" applyNumberFormat="1" applyFont="1" applyFill="1" applyBorder="1" applyProtection="1">
      <protection locked="0" hidden="0"/>
    </xf>
    <xf numFmtId="165" fontId="3" fillId="7" borderId="0" xfId="0" applyNumberFormat="1" applyFont="1" applyFill="1" applyBorder="1" applyProtection="1">
      <protection locked="0" hidden="0"/>
    </xf>
    <xf numFmtId="164" fontId="15" fillId="5" borderId="0" xfId="0" applyNumberFormat="1" applyFont="1" applyFill="1" applyBorder="1" applyProtection="1">
      <protection locked="0" hidden="0"/>
    </xf>
    <xf numFmtId="0" fontId="11" fillId="2" borderId="0" xfId="0" applyNumberFormat="1" applyFont="1" applyFill="1" applyBorder="1" applyAlignment="1" applyProtection="1">
      <alignment horizontal="center" wrapText="1"/>
      <protection locked="0" hidden="0"/>
    </xf>
    <xf numFmtId="164" fontId="3" fillId="0" borderId="0" xfId="0" applyNumberFormat="1" applyFont="1" applyFill="1" applyBorder="1" applyProtection="1">
      <protection locked="0" hidden="0"/>
    </xf>
    <xf numFmtId="2" fontId="3" fillId="0" borderId="0" xfId="0" applyNumberFormat="1" applyFont="1" applyFill="1" applyBorder="1" applyProtection="1">
      <protection locked="0" hidden="0"/>
    </xf>
    <xf numFmtId="165" fontId="3" fillId="0" borderId="0" xfId="0" applyNumberFormat="1" applyFont="1" applyFill="1" applyBorder="1" applyProtection="1">
      <protection locked="0" hidden="0"/>
    </xf>
    <xf numFmtId="0" fontId="16" fillId="11" borderId="0" xfId="0" applyNumberFormat="1" applyFont="1" applyFill="1" applyBorder="1" applyAlignment="1" applyProtection="1">
      <alignment vertical="center" wrapText="1"/>
      <protection locked="0" hidden="0"/>
    </xf>
    <xf numFmtId="0" fontId="6" fillId="3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6" fillId="5" borderId="0" xfId="0" applyNumberFormat="1" applyFont="1" applyFill="1" applyBorder="1" applyProtection="1">
      <protection locked="0" hidden="0"/>
    </xf>
    <xf numFmtId="165" fontId="6" fillId="5" borderId="0" xfId="0" applyNumberFormat="1" applyFont="1" applyFill="1" applyBorder="1" applyProtection="1">
      <protection locked="0" hidden="0"/>
    </xf>
    <xf numFmtId="0" fontId="17" fillId="4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11" fillId="8" borderId="0" xfId="0" applyNumberFormat="1" applyFont="1" applyFill="1" applyBorder="1" applyAlignment="1" applyProtection="1">
      <alignment horizontal="center"/>
      <protection locked="0" hidden="0"/>
    </xf>
    <xf numFmtId="0" fontId="18" fillId="4" borderId="0" xfId="0" applyNumberFormat="1" applyFont="1" applyFill="1" applyBorder="1" applyAlignment="1" applyProtection="1">
      <alignment horizontal="center" vertical="center" wrapText="1"/>
      <protection locked="0" hidden="0"/>
    </xf>
    <xf numFmtId="164" fontId="3" fillId="7" borderId="0" xfId="0" applyNumberFormat="1" applyFont="1" applyFill="1" applyBorder="1" applyProtection="1">
      <protection locked="0" hidden="0"/>
    </xf>
    <xf numFmtId="0" fontId="16" fillId="5" borderId="0" xfId="0" applyNumberFormat="1" applyFont="1" applyFill="1" applyBorder="1" applyProtection="1">
      <protection locked="0" hidden="0"/>
    </xf>
    <xf numFmtId="0" fontId="3" fillId="4" borderId="0" xfId="0" applyNumberFormat="1" applyFont="1" applyFill="1" applyBorder="1" applyAlignment="1" applyProtection="1">
      <alignment wrapText="1"/>
      <protection locked="0" hidden="0"/>
    </xf>
    <xf numFmtId="0" fontId="15" fillId="5" borderId="0" xfId="0" applyNumberFormat="1" applyFont="1" applyFill="1" applyBorder="1" applyProtection="1">
      <protection locked="0" hidden="0"/>
    </xf>
    <xf numFmtId="0" fontId="19" fillId="3" borderId="0" xfId="0" applyNumberFormat="1" applyFont="1" applyFill="1" applyBorder="1" applyAlignment="1" applyProtection="1">
      <alignment horizontal="center" vertical="center"/>
      <protection locked="0" hidden="0"/>
    </xf>
    <xf numFmtId="0" fontId="20" fillId="4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21" fillId="6" borderId="0" xfId="0" applyNumberFormat="1" applyFont="1" applyFill="1" applyBorder="1" applyAlignment="1" applyProtection="1">
      <alignment horizontal="center"/>
      <protection locked="0" hidden="0"/>
    </xf>
    <xf numFmtId="0" fontId="21" fillId="8" borderId="0" xfId="0" applyNumberFormat="1" applyFont="1" applyFill="1" applyBorder="1" applyAlignment="1" applyProtection="1">
      <alignment horizontal="center"/>
      <protection locked="0" hidden="0"/>
    </xf>
    <xf numFmtId="0" fontId="22" fillId="0" borderId="0" xfId="0" applyNumberFormat="1" applyFont="1" applyFill="1" applyBorder="1" applyProtection="1">
      <protection locked="0" hidden="0"/>
    </xf>
    <xf numFmtId="0" fontId="14" fillId="7" borderId="0" xfId="0" applyNumberFormat="1" applyFont="1" applyFill="1" applyBorder="1" applyProtection="1">
      <protection locked="0" hidden="0"/>
    </xf>
    <xf numFmtId="2" fontId="16" fillId="5" borderId="0" xfId="0" applyNumberFormat="1" applyFont="1" applyFill="1" applyBorder="1" applyProtection="1">
      <protection locked="0" hidden="0"/>
    </xf>
    <xf numFmtId="0" fontId="14" fillId="10" borderId="0" xfId="0" applyNumberFormat="1" applyFont="1" applyFill="1" applyBorder="1" applyAlignment="1" applyProtection="1">
      <alignment vertical="center" wrapText="1"/>
      <protection locked="0" hidden="0"/>
    </xf>
    <xf numFmtId="0" fontId="21" fillId="3" borderId="0" xfId="0" applyNumberFormat="1" applyFont="1" applyFill="1" applyBorder="1" applyAlignment="1" applyProtection="1">
      <alignment horizontal="center"/>
      <protection locked="0" hidden="0"/>
    </xf>
    <xf numFmtId="0" fontId="21" fillId="8" borderId="0" xfId="0" applyNumberFormat="1" applyFont="1" applyFill="1" applyBorder="1" applyProtection="1">
      <protection locked="0" hidden="0"/>
    </xf>
    <xf numFmtId="0" fontId="20" fillId="4" borderId="0" xfId="0" applyNumberFormat="1" applyFont="1" applyFill="1" applyBorder="1" applyAlignment="1" applyProtection="1">
      <alignment vertical="center" wrapText="1"/>
      <protection locked="0" hidden="0"/>
    </xf>
    <xf numFmtId="0" fontId="7" fillId="6" borderId="0" xfId="0" applyNumberFormat="1" applyFont="1" applyFill="1" applyBorder="1" applyAlignment="1" applyProtection="1">
      <alignment horizontal="center"/>
      <protection locked="0" hidden="0"/>
    </xf>
    <xf numFmtId="0" fontId="23" fillId="0" borderId="0" xfId="0" applyNumberFormat="1" applyFont="1" applyFill="1" applyBorder="1" applyProtection="1">
      <protection locked="0" hidden="0"/>
    </xf>
    <xf numFmtId="165" fontId="14" fillId="7" borderId="0" xfId="0" applyNumberFormat="1" applyFont="1" applyFill="1" applyBorder="1" applyProtection="1">
      <protection locked="0" hidden="0"/>
    </xf>
    <xf numFmtId="2" fontId="13" fillId="5" borderId="0" xfId="0" applyNumberFormat="1" applyFont="1" applyFill="1" applyBorder="1" applyProtection="1">
      <protection locked="0" hidden="0"/>
    </xf>
    <xf numFmtId="0" fontId="8" fillId="0" borderId="0" xfId="0" applyNumberFormat="1" applyFont="1" applyFill="1" applyBorder="1" applyProtection="1">
      <protection locked="0" hidden="0"/>
    </xf>
    <xf numFmtId="0" fontId="25" fillId="4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26" fillId="5" borderId="0" xfId="0" applyNumberFormat="1" applyFont="1" applyFill="1" applyBorder="1" applyAlignment="1" applyProtection="1">
      <alignment horizontal="center"/>
      <protection locked="0" hidden="0"/>
    </xf>
    <xf numFmtId="0" fontId="2" fillId="12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0" fillId="12" borderId="0" xfId="0" applyNumberFormat="1" applyFont="1" applyFill="1" applyBorder="1" applyAlignment="1" applyProtection="1">
      <alignment vertical="bottom" wrapText="0"/>
      <protection locked="0" hidden="0"/>
    </xf>
    <xf numFmtId="0" fontId="27" fillId="12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28" fillId="12" borderId="0" xfId="0" applyNumberFormat="1" applyFont="1" applyFill="1" applyBorder="1" applyAlignment="1" applyProtection="1">
      <alignment vertical="bottom" wrapText="0"/>
      <protection locked="0" hidden="0"/>
    </xf>
    <xf numFmtId="0" fontId="28" fillId="12" borderId="0" xfId="0" applyNumberFormat="1" applyFont="1" applyFill="1" applyBorder="1" applyAlignment="1" applyProtection="1">
      <alignment horizontal="center" vertical="bottom" wrapText="0"/>
      <protection locked="0" hidden="0"/>
    </xf>
    <xf numFmtId="0" fontId="28" fillId="12" borderId="0" xfId="0" applyNumberFormat="1" applyFont="1" applyFill="1" applyBorder="1" applyAlignment="1" applyProtection="1">
      <alignment horizontal="center" vertical="center" wrapText="0"/>
      <protection locked="0" hidden="0"/>
    </xf>
    <xf numFmtId="0" fontId="3" fillId="13" borderId="0" xfId="0" applyNumberFormat="1" applyFont="1" applyFill="1" applyBorder="1" applyProtection="1">
      <protection locked="0" hidden="0"/>
    </xf>
    <xf numFmtId="0" fontId="29" fillId="13" borderId="0" xfId="0" applyNumberFormat="1" applyFont="1" applyFill="1" applyBorder="1" applyProtection="1">
      <protection locked="0" hidden="0"/>
    </xf>
    <xf numFmtId="0" fontId="29" fillId="13" borderId="0" xfId="0" applyNumberFormat="1" applyFont="1" applyFill="1" applyBorder="1" applyAlignment="1" applyProtection="1">
      <alignment horizontal="center"/>
      <protection locked="0" hidden="0"/>
    </xf>
    <xf numFmtId="0" fontId="11" fillId="14" borderId="0" xfId="0" applyNumberFormat="1" applyFont="1" applyFill="1" applyBorder="1" applyAlignment="1" applyProtection="1">
      <alignment horizontal="center"/>
      <protection locked="0" hidden="0"/>
    </xf>
    <xf numFmtId="0" fontId="0" fillId="14" borderId="0" xfId="0" applyNumberFormat="1" applyFont="1" applyFill="1" applyBorder="1" applyAlignment="1" applyProtection="1">
      <alignment vertical="bottom" wrapText="0"/>
      <protection locked="0" hidden="0"/>
    </xf>
    <xf numFmtId="0" fontId="7" fillId="14" borderId="0" xfId="0" applyNumberFormat="1" applyFont="1" applyFill="1" applyBorder="1" applyAlignment="1" applyProtection="1">
      <alignment vertical="bottom" wrapText="0"/>
      <protection locked="0" hidden="0"/>
    </xf>
    <xf numFmtId="0" fontId="7" fillId="14" borderId="0" xfId="0" applyNumberFormat="1" applyFont="1" applyFill="1" applyBorder="1" applyAlignment="1" applyProtection="1">
      <alignment horizontal="center" vertical="bottom" wrapText="0"/>
      <protection locked="0" hidden="0"/>
    </xf>
    <xf numFmtId="0" fontId="12" fillId="15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0" fillId="15" borderId="0" xfId="0" applyNumberFormat="1" applyFont="1" applyFill="1" applyBorder="1" applyAlignment="1" applyProtection="1">
      <alignment vertical="bottom" wrapText="0"/>
      <protection locked="0" hidden="0"/>
    </xf>
    <xf numFmtId="0" fontId="18" fillId="15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25" fillId="15" borderId="0" xfId="0" applyNumberFormat="1" applyFont="1" applyFill="1" applyBorder="1" applyAlignment="1" applyProtection="1">
      <alignment vertical="bottom" wrapText="0"/>
      <protection locked="0" hidden="0"/>
    </xf>
    <xf numFmtId="0" fontId="25" fillId="15" borderId="0" xfId="0" applyNumberFormat="1" applyFont="1" applyFill="1" applyBorder="1" applyAlignment="1" applyProtection="1">
      <alignment vertical="bottom" wrapText="1"/>
      <protection locked="0" hidden="0"/>
    </xf>
    <xf numFmtId="0" fontId="25" fillId="15" borderId="0" xfId="0" applyNumberFormat="1" applyFont="1" applyFill="1" applyBorder="1" applyAlignment="1" applyProtection="1">
      <alignment horizontal="center" vertical="bottom" wrapText="1"/>
      <protection locked="0" hidden="0"/>
    </xf>
    <xf numFmtId="0" fontId="25" fillId="15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19" fillId="12" borderId="0" xfId="0" applyNumberFormat="1" applyFont="1" applyFill="1" applyBorder="1" applyAlignment="1" applyProtection="1">
      <alignment vertical="bottom" wrapText="0"/>
      <protection locked="0" hidden="0"/>
    </xf>
    <xf numFmtId="0" fontId="19" fillId="12" borderId="0" xfId="0" applyNumberFormat="1" applyFont="1" applyFill="1" applyBorder="1" applyAlignment="1" applyProtection="1">
      <alignment horizontal="center" vertical="bottom" wrapText="0"/>
      <protection locked="0" hidden="0"/>
    </xf>
    <xf numFmtId="0" fontId="19" fillId="12" borderId="0" xfId="0" applyNumberFormat="1" applyFont="1" applyFill="1" applyBorder="1" applyAlignment="1" applyProtection="1">
      <alignment horizontal="center" vertical="center" wrapText="0"/>
      <protection locked="0" hidden="0"/>
    </xf>
    <xf numFmtId="0" fontId="30" fillId="15" borderId="0" xfId="0" applyNumberFormat="1" applyFont="1" applyFill="1" applyBorder="1" applyAlignment="1" applyProtection="1">
      <alignment vertical="bottom" wrapText="0"/>
      <protection locked="0" hidden="0"/>
    </xf>
    <xf numFmtId="0" fontId="30" fillId="15" borderId="0" xfId="0" applyNumberFormat="1" applyFont="1" applyFill="1" applyBorder="1" applyAlignment="1" applyProtection="1">
      <alignment vertical="bottom" wrapText="1"/>
      <protection locked="0" hidden="0"/>
    </xf>
    <xf numFmtId="0" fontId="30" fillId="15" borderId="0" xfId="0" applyNumberFormat="1" applyFont="1" applyFill="1" applyBorder="1" applyAlignment="1" applyProtection="1">
      <alignment vertical="center" wrapText="1"/>
      <protection locked="0" hidden="0"/>
    </xf>
    <xf numFmtId="0" fontId="0" fillId="16" borderId="0" xfId="0" applyNumberFormat="1" applyFont="1" applyFill="1" applyBorder="1" applyAlignment="1" applyProtection="1">
      <alignment vertical="bottom" wrapText="0"/>
      <protection locked="0" hidden="0"/>
    </xf>
    <xf numFmtId="0" fontId="30" fillId="16" borderId="0" xfId="0" applyNumberFormat="1" applyFont="1" applyFill="1" applyBorder="1" applyAlignment="1" applyProtection="1">
      <alignment vertical="bottom" wrapText="0"/>
      <protection locked="0" hidden="0"/>
    </xf>
    <xf numFmtId="0" fontId="30" fillId="16" borderId="0" xfId="0" applyNumberFormat="1" applyFont="1" applyFill="1" applyBorder="1" applyAlignment="1" applyProtection="1">
      <alignment vertical="bottom" wrapText="1"/>
      <protection locked="0" hidden="0"/>
    </xf>
    <xf numFmtId="0" fontId="30" fillId="16" borderId="0" xfId="0" applyNumberFormat="1" applyFont="1" applyFill="1" applyBorder="1" applyAlignment="1" applyProtection="1">
      <alignment vertical="center" wrapText="1"/>
      <protection locked="0" hidden="0"/>
    </xf>
    <xf numFmtId="0" fontId="0" fillId="13" borderId="0" xfId="0" applyNumberFormat="1" applyFont="1" applyFill="1" applyBorder="1" applyAlignment="1" applyProtection="1">
      <alignment vertical="bottom" wrapText="0"/>
      <protection locked="0" hidden="0"/>
    </xf>
    <xf numFmtId="0" fontId="7" fillId="13" borderId="0" xfId="0" applyNumberFormat="1" applyFont="1" applyFill="1" applyBorder="1" applyAlignment="1" applyProtection="1">
      <alignment vertical="bottom" wrapText="0"/>
      <protection locked="0" hidden="0"/>
    </xf>
    <xf numFmtId="0" fontId="7" fillId="13" borderId="0" xfId="0" applyNumberFormat="1" applyFont="1" applyFill="1" applyBorder="1" applyAlignment="1" applyProtection="1">
      <alignment horizontal="center" vertical="bottom" wrapText="0"/>
      <protection locked="0" hidden="0"/>
    </xf>
    <xf numFmtId="0" fontId="0" fillId="17" borderId="0" xfId="0" applyNumberFormat="1" applyFont="1" applyFill="1" applyBorder="1" applyAlignment="1" applyProtection="1">
      <alignment vertical="bottom" wrapText="0"/>
      <protection locked="0" hidden="0"/>
    </xf>
    <xf numFmtId="0" fontId="23" fillId="17" borderId="0" xfId="0" applyNumberFormat="1" applyFont="1" applyFill="1" applyBorder="1" applyAlignment="1" applyProtection="1">
      <alignment vertical="bottom" wrapText="0"/>
      <protection locked="0" hidden="0"/>
    </xf>
    <xf numFmtId="0" fontId="23" fillId="17" borderId="0" xfId="0" applyNumberFormat="1" applyFont="1" applyFill="1" applyBorder="1" applyAlignment="1" applyProtection="1">
      <alignment vertical="bottom" wrapText="1"/>
      <protection locked="0" hidden="0"/>
    </xf>
    <xf numFmtId="0" fontId="23" fillId="17" borderId="0" xfId="0" applyNumberFormat="1" applyFont="1" applyFill="1" applyBorder="1" applyAlignment="1" applyProtection="1">
      <alignment horizontal="center" vertical="bottom" wrapText="1"/>
      <protection locked="0" hidden="0"/>
    </xf>
    <xf numFmtId="0" fontId="23" fillId="17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13" fillId="16" borderId="0" xfId="0" applyNumberFormat="1" applyFont="1" applyFill="1" applyBorder="1" applyAlignment="1" applyProtection="1">
      <alignment vertical="bottom" wrapText="0"/>
      <protection locked="0" hidden="0"/>
    </xf>
    <xf numFmtId="0" fontId="13" fillId="16" borderId="0" xfId="0" applyNumberFormat="1" applyFont="1" applyFill="1" applyBorder="1" applyAlignment="1" applyProtection="1">
      <alignment vertical="bottom" wrapText="1"/>
      <protection locked="0" hidden="0"/>
    </xf>
    <xf numFmtId="0" fontId="13" fillId="16" borderId="0" xfId="0" applyNumberFormat="1" applyFont="1" applyFill="1" applyBorder="1" applyAlignment="1" applyProtection="1">
      <alignment horizontal="center" vertical="bottom" wrapText="1"/>
      <protection locked="0" hidden="0"/>
    </xf>
    <xf numFmtId="0" fontId="13" fillId="16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30" fillId="15" borderId="0" xfId="0" applyNumberFormat="1" applyFont="1" applyFill="1" applyBorder="1" applyAlignment="1" applyProtection="1">
      <alignment horizontal="center" vertical="bottom" wrapText="1"/>
      <protection locked="0" hidden="0"/>
    </xf>
    <xf numFmtId="0" fontId="30" fillId="15" borderId="0" xfId="0" applyNumberFormat="1" applyFont="1" applyFill="1" applyBorder="1" applyAlignment="1" applyProtection="1">
      <alignment horizontal="center" vertical="center" wrapText="1"/>
      <protection locked="0" hidden="0"/>
    </xf>
    <xf numFmtId="0" fontId="3" fillId="14" borderId="0" xfId="0" applyNumberFormat="1" applyFont="1" applyFill="1" applyBorder="1" applyProtection="1">
      <protection locked="0" hidden="0"/>
    </xf>
    <xf numFmtId="0" fontId="11" fillId="14" borderId="0" xfId="0" applyNumberFormat="1" applyFont="1" applyFill="1" applyBorder="1" applyProtection="1">
      <protection locked="0" hidden="0"/>
    </xf>
    <xf numFmtId="0" fontId="3" fillId="15" borderId="0" xfId="0" applyNumberFormat="1" applyFont="1" applyFill="1" applyBorder="1" applyProtection="1">
      <protection locked="0" hidden="0"/>
    </xf>
    <xf numFmtId="0" fontId="4" fillId="15" borderId="0" xfId="0" applyNumberFormat="1" applyFont="1" applyFill="1" applyBorder="1" applyProtection="1">
      <protection locked="0" hidden="0"/>
    </xf>
    <xf numFmtId="0" fontId="4" fillId="15" borderId="0" xfId="0" applyNumberFormat="1" applyFont="1" applyFill="1" applyBorder="1" applyAlignment="1" applyProtection="1">
      <alignment wrapText="1"/>
      <protection locked="0" hidden="0"/>
    </xf>
    <xf numFmtId="0" fontId="4" fillId="15" borderId="0" xfId="0" applyNumberFormat="1" applyFont="1" applyFill="1" applyBorder="1" applyAlignment="1" applyProtection="1">
      <alignment horizontal="center" wrapText="1"/>
      <protection locked="0" hidden="0"/>
    </xf>
    <xf numFmtId="0" fontId="4" fillId="15" borderId="0" xfId="0" applyNumberFormat="1" applyFont="1" applyFill="1" applyBorder="1" applyAlignment="1" applyProtection="1">
      <alignment horizontal="center" vertical="center" wrapText="1"/>
      <protection locked="0" hidden="0"/>
    </xf>
  </cellXfs>
  <cellStyles count="1">
    <cellStyle name="Normal" xfId="0"/>
  </cellStyles>
  <dxfs count="3">
    <dxf>
      <font>
        <b/>
        <color rgb="FF315B3A"/>
      </font>
      <fill>
        <patternFill>
          <bgColor rgb="FFEAF0DF"/>
        </patternFill>
      </fill>
      <border/>
    </dxf>
    <dxf>
      <font>
        <b/>
        <color rgb="FFA33A3A"/>
      </font>
      <fill>
        <patternFill>
          <bgColor rgb="FFF8DEDE"/>
        </patternFill>
      </fill>
      <border/>
    </dxf>
    <dxf>
      <font>
        <b/>
        <color rgb="FFD86A1C"/>
      </font>
      <fill>
        <patternFill>
          <bgColor rgb="FFF7E5D4"/>
        </patternFill>
      </fill>
      <border/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7769e013b4670" /><Relationship Type="http://schemas.openxmlformats.org/officeDocument/2006/relationships/theme" Target="/xl/theme/theme1.xml" Id="R7d2a822039914fe5" /><Relationship Type="http://schemas.openxmlformats.org/officeDocument/2006/relationships/sharedStrings" Target="/xl/sharedStrings.xml" Id="R622c194c294e4475" /><Relationship Type="http://schemas.openxmlformats.org/officeDocument/2006/relationships/worksheet" Target="/xl/worksheets/sheet1.xml" Id="Rdaa7e937777e4ae5" /><Relationship Type="http://schemas.openxmlformats.org/officeDocument/2006/relationships/worksheet" Target="/xl/worksheets/sheet2.xml" Id="R83657d17c0d0478d" /><Relationship Type="http://schemas.openxmlformats.org/officeDocument/2006/relationships/worksheet" Target="/xl/worksheets/sheet3.xml" Id="R3a2ab93d542d452a" /><Relationship Type="http://schemas.openxmlformats.org/officeDocument/2006/relationships/worksheet" Target="/xl/worksheets/sheet4.xml" Id="R0eb71145d97b452c" /><Relationship Type="http://schemas.openxmlformats.org/officeDocument/2006/relationships/worksheet" Target="/xl/worksheets/sheet5.xml" Id="R62de7839c5534db2" /><Relationship Type="http://schemas.openxmlformats.org/officeDocument/2006/relationships/worksheet" Target="/xl/worksheets/sheet6.xml" Id="R6400bc6091784f48" /><Relationship Type="http://schemas.openxmlformats.org/officeDocument/2006/relationships/worksheet" Target="/xl/worksheets/sheet7.xml" Id="Rfecc0eb160db4414" /><Relationship Type="http://schemas.openxmlformats.org/officeDocument/2006/relationships/worksheet" Target="/xl/worksheets/sheet8.xml" Id="Rea66b99cd21d4196" /><Relationship Type="http://schemas.openxmlformats.org/officeDocument/2006/relationships/worksheet" Target="/xl/worksheets/sheet9.xml" Id="R0a50123dce3948d1" /><Relationship Type="http://schemas.openxmlformats.org/officeDocument/2006/relationships/worksheet" Target="/xl/worksheets/sheet10.xml" Id="Rea095f9429434a12" /><Relationship Type="http://schemas.openxmlformats.org/officeDocument/2006/relationships/worksheet" Target="/xl/worksheets/sheet11.xml" Id="R49f1c919b438438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12.630000114440918" defaultRowHeight="15"/>
  <cols>
    <col min="1" max="1" width="19" customWidth="1"/>
    <col min="2" max="8" width="15" customWidth="1"/>
    <col min="9" max="26" width="8.630000114440918" customWidth="1"/>
  </cols>
  <sheetData>
    <row r="1">
      <c r="A1" s="243" t="str">
        <v>CALCULADORA DE COSTOS AYRU ORGANIC · PRO 1.0</v>
      </c>
      <c r="B1" s="246"/>
      <c r="C1" s="246"/>
      <c r="D1" s="246"/>
      <c r="E1" s="246"/>
      <c r="F1" s="246"/>
      <c r="G1" s="246"/>
      <c r="H1" s="246"/>
      <c r="I1" s="3"/>
      <c r="J1" s="3"/>
      <c r="K1" s="3"/>
      <c r="L1" s="3"/>
      <c r="M1" s="3"/>
    </row>
    <row r="2">
      <c r="A2" s="246"/>
      <c r="B2" s="246"/>
      <c r="C2" s="246"/>
      <c r="D2" s="246"/>
      <c r="E2" s="246"/>
      <c r="F2" s="246"/>
      <c r="G2" s="246"/>
      <c r="H2" s="246"/>
      <c r="I2" s="3"/>
      <c r="J2" s="3"/>
      <c r="K2" s="3"/>
      <c r="L2" s="3"/>
      <c r="M2" s="3"/>
    </row>
    <row r="3">
      <c r="A3" s="249" t="str">
        <v>Costea · Define tu precio · Simula · Decide</v>
      </c>
      <c r="B3" s="249"/>
      <c r="C3" s="249"/>
      <c r="D3" s="249"/>
      <c r="E3" s="249"/>
      <c r="F3" s="249"/>
      <c r="G3" s="249"/>
      <c r="H3" s="249"/>
      <c r="I3" s="3"/>
      <c r="J3" s="3"/>
      <c r="K3" s="3"/>
      <c r="L3" s="3"/>
      <c r="M3" s="3"/>
    </row>
    <row r="4">
      <c r="A4" s="5" t="s">
        <v>0</v>
      </c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7" t="s">
        <v>1</v>
      </c>
      <c r="B6" s="16" t="s">
        <v>2</v>
      </c>
      <c r="I6" s="3"/>
      <c r="J6" s="3"/>
      <c r="K6" s="3"/>
      <c r="L6" s="3"/>
      <c r="M6" s="3"/>
    </row>
    <row r="7">
      <c r="A7" s="7"/>
      <c r="B7" s="16" t="s">
        <v>3</v>
      </c>
      <c r="I7" s="3"/>
      <c r="J7" s="3"/>
      <c r="K7" s="3"/>
      <c r="L7" s="3"/>
      <c r="M7" s="3"/>
    </row>
    <row r="8">
      <c r="A8" s="7"/>
      <c r="B8" s="16" t="s">
        <v>4</v>
      </c>
      <c r="I8" s="3"/>
      <c r="J8" s="3"/>
      <c r="K8" s="3"/>
      <c r="L8" s="3"/>
      <c r="M8" s="3"/>
    </row>
    <row r="9">
      <c r="A9" s="7"/>
      <c r="B9" s="16" t="s">
        <v>5</v>
      </c>
      <c r="I9" s="3"/>
      <c r="J9" s="3"/>
      <c r="K9" s="3"/>
      <c r="L9" s="3"/>
      <c r="M9" s="3"/>
    </row>
    <row r="10">
      <c r="A10" s="7"/>
      <c r="B10" s="16" t="s">
        <v>6</v>
      </c>
      <c r="I10" s="3"/>
      <c r="J10" s="3"/>
      <c r="K10" s="3"/>
      <c r="L10" s="3"/>
      <c r="M10" s="3"/>
    </row>
    <row r="11">
      <c r="A11" s="7"/>
      <c r="B11" s="16" t="s">
        <v>7</v>
      </c>
      <c r="I11" s="3"/>
      <c r="J11" s="3"/>
      <c r="K11" s="3"/>
      <c r="L11" s="3"/>
      <c r="M11" s="3"/>
    </row>
    <row r="12">
      <c r="A12" s="7" t="s">
        <v>8</v>
      </c>
      <c r="B12" s="16" t="s">
        <v>9</v>
      </c>
      <c r="I12" s="3"/>
      <c r="J12" s="3"/>
      <c r="K12" s="3"/>
      <c r="L12" s="3"/>
      <c r="M12" s="3"/>
    </row>
    <row r="13">
      <c r="A13" s="7" t="s">
        <v>10</v>
      </c>
      <c r="B13" s="16" t="s">
        <v>11</v>
      </c>
      <c r="I13" s="3"/>
      <c r="J13" s="3"/>
      <c r="K13" s="3"/>
      <c r="L13" s="3"/>
      <c r="M13" s="3"/>
    </row>
    <row r="14">
      <c r="A14" s="7" t="s">
        <v>12</v>
      </c>
      <c r="B14" s="16" t="s">
        <v>13</v>
      </c>
      <c r="I14" s="3"/>
      <c r="J14" s="3"/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28" t="s">
        <v>14</v>
      </c>
      <c r="I16" s="3"/>
      <c r="J16" s="3"/>
      <c r="K16" s="3"/>
      <c r="L16" s="3"/>
      <c r="M16" s="3"/>
    </row>
    <row r="17">
      <c r="I17" s="3"/>
      <c r="J17" s="3"/>
      <c r="K17" s="3"/>
      <c r="L17" s="3"/>
      <c r="M17" s="3"/>
    </row>
    <row r="18"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250" t="str">
        <v>VERSIÓN COMERCIAL 1.0</v>
      </c>
      <c r="B20" s="253"/>
      <c r="C20" s="253"/>
      <c r="D20" s="253"/>
      <c r="E20" s="253"/>
      <c r="F20" s="253"/>
      <c r="G20" s="253"/>
      <c r="H20" s="253"/>
      <c r="I20" s="3"/>
      <c r="J20" s="3"/>
      <c r="K20" s="3"/>
      <c r="L20" s="3"/>
      <c r="M20" s="3"/>
    </row>
    <row r="21" ht="15.75" customHeight="1">
      <c r="A21" s="256" t="str">
        <v>Herramienta educativa y administrativa desarrollada por AYRU ORGANIC para emprendedores jaboneros. Los resultados dependen de la información registrada por el usuario y sirven como apoyo para el análisis de costos, precios y rentabilidad. No sustituye asesoría contable, tributaria o financiera.</v>
      </c>
      <c r="B21" s="260"/>
      <c r="C21" s="260"/>
      <c r="D21" s="260"/>
      <c r="E21" s="260"/>
      <c r="F21" s="260"/>
      <c r="G21" s="260"/>
      <c r="H21" s="260"/>
      <c r="I21" s="3"/>
      <c r="J21" s="3"/>
      <c r="K21" s="3"/>
      <c r="L21" s="3"/>
      <c r="M21" s="3"/>
    </row>
    <row r="22" ht="15.75" customHeight="1">
      <c r="A22" s="260"/>
      <c r="B22" s="260"/>
      <c r="C22" s="260"/>
      <c r="D22" s="260"/>
      <c r="E22" s="260"/>
      <c r="F22" s="260"/>
      <c r="G22" s="260"/>
      <c r="H22" s="260"/>
      <c r="I22" s="3"/>
      <c r="J22" s="3"/>
      <c r="K22" s="3"/>
      <c r="L22" s="3"/>
      <c r="M22" s="3"/>
    </row>
    <row r="23" ht="15.75" customHeight="1">
      <c r="A23" s="260"/>
      <c r="B23" s="260"/>
      <c r="C23" s="260"/>
      <c r="D23" s="260"/>
      <c r="E23" s="260"/>
      <c r="F23" s="260"/>
      <c r="G23" s="260"/>
      <c r="H23" s="260"/>
      <c r="I23" s="3"/>
      <c r="J23" s="3"/>
      <c r="K23" s="3"/>
      <c r="L23" s="3"/>
      <c r="M23" s="3"/>
    </row>
    <row r="24" ht="15.75" customHeight="1">
      <c r="A24" s="260"/>
      <c r="B24" s="260"/>
      <c r="C24" s="260"/>
      <c r="D24" s="260"/>
      <c r="E24" s="260"/>
      <c r="F24" s="260"/>
      <c r="G24" s="260"/>
      <c r="H24" s="260"/>
      <c r="I24" s="3"/>
      <c r="J24" s="3"/>
      <c r="K24" s="3"/>
      <c r="L24" s="3"/>
      <c r="M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sheetProtection sheet="1" objects="1" scenarios="1" selectLockedCells="1" selectUnlockedCells="0"/>
  <mergeCells>
    <mergeCell ref="B11:H11"/>
    <mergeCell ref="B12:H12"/>
    <mergeCell ref="B13:H13"/>
    <mergeCell ref="B14:H14"/>
    <mergeCell ref="A16:H18"/>
    <mergeCell ref="A20:H20"/>
    <mergeCell ref="A21:H24"/>
    <mergeCell ref="A1:H2"/>
    <mergeCell ref="A4:H4"/>
    <mergeCell ref="B6:H6"/>
    <mergeCell ref="B7:H7"/>
    <mergeCell ref="B8:H8"/>
    <mergeCell ref="B9:H9"/>
    <mergeCell ref="B10:H10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ColWidth="12.630000114440918" defaultRowHeight="15"/>
  <cols>
    <col min="1" max="1" width="14" customWidth="1"/>
    <col min="2" max="2" width="27" customWidth="1"/>
    <col min="3" max="3" width="15" customWidth="1"/>
    <col min="4" max="5" width="18" customWidth="1"/>
    <col min="6" max="6" width="20" customWidth="1"/>
    <col min="7" max="7" width="25" customWidth="1"/>
    <col min="8" max="8" width="18" customWidth="1"/>
    <col min="9" max="26" width="8.630000114440918" customWidth="1"/>
  </cols>
  <sheetData>
    <row r="1">
      <c r="A1" s="1" t="s">
        <v>15</v>
      </c>
      <c r="I1" s="3"/>
      <c r="J1" s="3"/>
      <c r="K1" s="3"/>
      <c r="L1" s="3"/>
      <c r="M1" s="3"/>
    </row>
    <row r="2">
      <c r="I2" s="3"/>
      <c r="J2" s="3"/>
      <c r="K2" s="3"/>
      <c r="L2" s="3"/>
      <c r="M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3"/>
      <c r="J4" s="3"/>
      <c r="K4" s="3"/>
      <c r="L4" s="3"/>
      <c r="M4" s="3"/>
    </row>
    <row r="5">
      <c r="A5" s="386" t="s">
        <v>24</v>
      </c>
      <c r="B5" s="388" t="s">
        <v>25</v>
      </c>
      <c r="C5" s="388" t="s">
        <v>26</v>
      </c>
      <c r="D5" s="392">
        <v>1000.0</v>
      </c>
      <c r="E5" s="394">
        <v>18000.0</v>
      </c>
      <c r="F5" s="24" t="n">
        <f t="shared" ref="F5:F104" si="1">IFERROR(E5/D5,0)</f>
        <v>18</v>
      </c>
      <c r="G5" s="386"/>
      <c r="H5" s="399">
        <v>46287.0</v>
      </c>
      <c r="I5" s="3"/>
      <c r="J5" s="3"/>
      <c r="K5" s="3"/>
      <c r="L5" s="3"/>
      <c r="M5" s="3"/>
    </row>
    <row r="6">
      <c r="A6" s="386" t="s">
        <v>27</v>
      </c>
      <c r="B6" s="388" t="s">
        <v>28</v>
      </c>
      <c r="C6" s="388" t="s">
        <v>26</v>
      </c>
      <c r="D6" s="401">
        <v>1000.0</v>
      </c>
      <c r="E6" s="394">
        <v>15000.0</v>
      </c>
      <c r="F6" s="24">
        <f t="shared" si="1"/>
        <v>15</v>
      </c>
      <c r="G6" s="386"/>
      <c r="H6" s="399">
        <v>46287.0</v>
      </c>
      <c r="I6" s="3"/>
      <c r="J6" s="3"/>
      <c r="K6" s="3"/>
      <c r="L6" s="3"/>
      <c r="M6" s="3"/>
    </row>
    <row r="7">
      <c r="A7" s="386" t="s">
        <v>29</v>
      </c>
      <c r="B7" s="388" t="s">
        <v>30</v>
      </c>
      <c r="C7" s="403" t="s">
        <v>31</v>
      </c>
      <c r="D7" s="401">
        <v>450.0</v>
      </c>
      <c r="E7" s="394">
        <v>32900.0</v>
      </c>
      <c r="F7" s="24">
        <f t="shared" si="1"/>
        <v>73.11111111</v>
      </c>
      <c r="G7" s="386"/>
      <c r="H7" s="399">
        <v>46287.0</v>
      </c>
      <c r="I7" s="3"/>
      <c r="J7" s="3"/>
      <c r="K7" s="3"/>
      <c r="L7" s="3"/>
      <c r="M7" s="3"/>
    </row>
    <row r="8">
      <c r="A8" s="386" t="s">
        <v>32</v>
      </c>
      <c r="B8" s="403" t="s">
        <v>33</v>
      </c>
      <c r="C8" s="388" t="s">
        <v>34</v>
      </c>
      <c r="D8" s="401">
        <v>15.0</v>
      </c>
      <c r="E8" s="405">
        <v>8500.0</v>
      </c>
      <c r="F8" s="24">
        <f t="shared" si="1"/>
        <v>566.6666667</v>
      </c>
      <c r="G8" s="386"/>
      <c r="H8" s="399">
        <v>46287.0</v>
      </c>
      <c r="I8" s="3"/>
      <c r="J8" s="3"/>
      <c r="K8" s="3"/>
      <c r="L8" s="3"/>
      <c r="M8" s="3"/>
    </row>
    <row r="9">
      <c r="A9" s="386" t="s">
        <v>35</v>
      </c>
      <c r="B9" s="388" t="s">
        <v>36</v>
      </c>
      <c r="C9" s="388" t="s">
        <v>26</v>
      </c>
      <c r="D9" s="401">
        <v>1000.0</v>
      </c>
      <c r="E9" s="394">
        <v>220000.0</v>
      </c>
      <c r="F9" s="24">
        <f t="shared" si="1"/>
        <v>220</v>
      </c>
      <c r="G9" s="386"/>
      <c r="H9" s="399">
        <v>46287.0</v>
      </c>
      <c r="I9" s="3"/>
      <c r="J9" s="3"/>
      <c r="K9" s="3"/>
      <c r="L9" s="3"/>
      <c r="M9" s="3"/>
    </row>
    <row r="10">
      <c r="A10" s="386" t="s">
        <v>37</v>
      </c>
      <c r="B10" s="388" t="s">
        <v>38</v>
      </c>
      <c r="C10" s="388" t="s">
        <v>26</v>
      </c>
      <c r="D10" s="401">
        <v>120.0</v>
      </c>
      <c r="E10" s="394">
        <v>39300.0</v>
      </c>
      <c r="F10" s="24">
        <f t="shared" si="1"/>
        <v>327.5</v>
      </c>
      <c r="G10" s="386"/>
      <c r="H10" s="399">
        <v>46287.0</v>
      </c>
      <c r="I10" s="3"/>
      <c r="J10" s="3"/>
      <c r="K10" s="3"/>
      <c r="L10" s="3"/>
      <c r="M10" s="3"/>
    </row>
    <row r="11">
      <c r="A11" s="386" t="s">
        <v>39</v>
      </c>
      <c r="B11" s="388" t="s">
        <v>40</v>
      </c>
      <c r="C11" s="388" t="s">
        <v>26</v>
      </c>
      <c r="D11" s="401">
        <v>120.0</v>
      </c>
      <c r="E11" s="394">
        <v>48400.0</v>
      </c>
      <c r="F11" s="24">
        <f t="shared" si="1"/>
        <v>403.3333333</v>
      </c>
      <c r="G11" s="386"/>
      <c r="H11" s="399">
        <v>46287.0</v>
      </c>
      <c r="I11" s="3"/>
      <c r="J11" s="3"/>
      <c r="K11" s="3"/>
      <c r="L11" s="3"/>
      <c r="M11" s="3"/>
    </row>
    <row r="12">
      <c r="A12" s="386" t="s">
        <v>41</v>
      </c>
      <c r="B12" s="388" t="s">
        <v>42</v>
      </c>
      <c r="C12" s="388" t="s">
        <v>26</v>
      </c>
      <c r="D12" s="401">
        <v>120.0</v>
      </c>
      <c r="E12" s="394">
        <v>43500.0</v>
      </c>
      <c r="F12" s="24">
        <f t="shared" si="1"/>
        <v>362.5</v>
      </c>
      <c r="G12" s="386"/>
      <c r="H12" s="399">
        <v>46287.0</v>
      </c>
      <c r="I12" s="3"/>
      <c r="J12" s="3"/>
      <c r="K12" s="3"/>
      <c r="L12" s="3"/>
      <c r="M12" s="3"/>
    </row>
    <row r="13">
      <c r="A13" s="386" t="s">
        <v>43</v>
      </c>
      <c r="B13" s="388" t="s">
        <v>44</v>
      </c>
      <c r="C13" s="388" t="s">
        <v>26</v>
      </c>
      <c r="D13" s="401">
        <v>120.0</v>
      </c>
      <c r="E13" s="394">
        <v>48600.0</v>
      </c>
      <c r="F13" s="24">
        <f t="shared" si="1"/>
        <v>405</v>
      </c>
      <c r="G13" s="386"/>
      <c r="H13" s="399">
        <v>46287.0</v>
      </c>
      <c r="I13" s="3"/>
      <c r="J13" s="3"/>
      <c r="K13" s="3"/>
      <c r="L13" s="3"/>
      <c r="M13" s="3"/>
    </row>
    <row r="14">
      <c r="A14" s="386" t="s">
        <v>45</v>
      </c>
      <c r="B14" s="388" t="s">
        <v>46</v>
      </c>
      <c r="C14" s="388" t="s">
        <v>26</v>
      </c>
      <c r="D14" s="401">
        <v>120.0</v>
      </c>
      <c r="E14" s="394">
        <v>43100.0</v>
      </c>
      <c r="F14" s="24">
        <f t="shared" si="1"/>
        <v>359.1666667</v>
      </c>
      <c r="G14" s="386"/>
      <c r="H14" s="399">
        <v>46287.0</v>
      </c>
      <c r="I14" s="3"/>
      <c r="J14" s="3"/>
      <c r="K14" s="3"/>
      <c r="L14" s="3"/>
      <c r="M14" s="3"/>
    </row>
    <row r="15">
      <c r="A15" s="386" t="s">
        <v>47</v>
      </c>
      <c r="B15" s="388" t="s">
        <v>48</v>
      </c>
      <c r="C15" s="388" t="s">
        <v>26</v>
      </c>
      <c r="D15" s="401">
        <v>30.0</v>
      </c>
      <c r="E15" s="394">
        <v>16400.0</v>
      </c>
      <c r="F15" s="24">
        <f t="shared" si="1"/>
        <v>546.6666667</v>
      </c>
      <c r="G15" s="386"/>
      <c r="H15" s="399">
        <v>46287.0</v>
      </c>
      <c r="I15" s="3"/>
      <c r="J15" s="3"/>
      <c r="K15" s="3"/>
      <c r="L15" s="3"/>
      <c r="M15" s="3"/>
    </row>
    <row r="16">
      <c r="A16" s="386" t="s">
        <v>49</v>
      </c>
      <c r="B16" s="388" t="s">
        <v>50</v>
      </c>
      <c r="C16" s="388" t="s">
        <v>26</v>
      </c>
      <c r="D16" s="401">
        <v>30.0</v>
      </c>
      <c r="E16" s="394">
        <v>13900.0</v>
      </c>
      <c r="F16" s="24">
        <f t="shared" si="1"/>
        <v>463.3333333</v>
      </c>
      <c r="G16" s="386"/>
      <c r="H16" s="399">
        <v>46287.0</v>
      </c>
      <c r="I16" s="3"/>
      <c r="J16" s="3"/>
      <c r="K16" s="3"/>
      <c r="L16" s="3"/>
      <c r="M16" s="3"/>
    </row>
    <row r="17">
      <c r="A17" s="386" t="s">
        <v>51</v>
      </c>
      <c r="B17" s="388" t="s">
        <v>52</v>
      </c>
      <c r="C17" s="388" t="s">
        <v>26</v>
      </c>
      <c r="D17" s="401">
        <v>30.0</v>
      </c>
      <c r="E17" s="394">
        <v>13900.0</v>
      </c>
      <c r="F17" s="24">
        <f t="shared" si="1"/>
        <v>463.3333333</v>
      </c>
      <c r="G17" s="386"/>
      <c r="H17" s="399">
        <v>46287.0</v>
      </c>
      <c r="I17" s="3"/>
      <c r="J17" s="3"/>
      <c r="K17" s="3"/>
      <c r="L17" s="3"/>
      <c r="M17" s="3"/>
    </row>
    <row r="18">
      <c r="A18" s="386" t="s">
        <v>53</v>
      </c>
      <c r="B18" s="388" t="s">
        <v>54</v>
      </c>
      <c r="C18" s="388" t="s">
        <v>26</v>
      </c>
      <c r="D18" s="401">
        <v>100.0</v>
      </c>
      <c r="E18" s="394">
        <v>9000.0</v>
      </c>
      <c r="F18" s="24">
        <f t="shared" si="1"/>
        <v>90</v>
      </c>
      <c r="G18" s="386"/>
      <c r="H18" s="399">
        <v>46287.0</v>
      </c>
      <c r="I18" s="3"/>
      <c r="J18" s="3"/>
      <c r="K18" s="3"/>
      <c r="L18" s="3"/>
      <c r="M18" s="3"/>
    </row>
    <row r="19">
      <c r="A19" s="386" t="s">
        <v>55</v>
      </c>
      <c r="B19" s="388" t="s">
        <v>56</v>
      </c>
      <c r="C19" s="388" t="s">
        <v>26</v>
      </c>
      <c r="D19" s="401">
        <v>100.0</v>
      </c>
      <c r="E19" s="394">
        <v>8000.0</v>
      </c>
      <c r="F19" s="24">
        <f t="shared" si="1"/>
        <v>80</v>
      </c>
      <c r="G19" s="386"/>
      <c r="H19" s="399">
        <v>46287.0</v>
      </c>
      <c r="I19" s="3"/>
      <c r="J19" s="3"/>
      <c r="K19" s="3"/>
      <c r="L19" s="3"/>
      <c r="M19" s="3"/>
    </row>
    <row r="20">
      <c r="A20" s="386" t="s">
        <v>57</v>
      </c>
      <c r="B20" s="388" t="s">
        <v>58</v>
      </c>
      <c r="C20" s="388" t="s">
        <v>26</v>
      </c>
      <c r="D20" s="401">
        <v>250.0</v>
      </c>
      <c r="E20" s="394">
        <v>5000.0</v>
      </c>
      <c r="F20" s="24">
        <f t="shared" si="1"/>
        <v>20</v>
      </c>
      <c r="G20" s="386"/>
      <c r="H20" s="399">
        <v>46287.0</v>
      </c>
      <c r="I20" s="3"/>
      <c r="J20" s="3"/>
      <c r="K20" s="3"/>
      <c r="L20" s="3"/>
      <c r="M20" s="3"/>
    </row>
    <row r="21" ht="15.75" customHeight="1">
      <c r="A21" s="386" t="s">
        <v>59</v>
      </c>
      <c r="B21" s="388" t="s">
        <v>60</v>
      </c>
      <c r="C21" s="388" t="s">
        <v>26</v>
      </c>
      <c r="D21" s="401">
        <v>1000.0</v>
      </c>
      <c r="E21" s="394">
        <v>120000.0</v>
      </c>
      <c r="F21" s="24">
        <f t="shared" si="1"/>
        <v>120</v>
      </c>
      <c r="G21" s="386"/>
      <c r="H21" s="399">
        <v>46287.0</v>
      </c>
      <c r="I21" s="3"/>
      <c r="J21" s="3"/>
      <c r="K21" s="3"/>
      <c r="L21" s="3"/>
      <c r="M21" s="3"/>
    </row>
    <row r="22" ht="15.75" customHeight="1">
      <c r="A22" s="386" t="s">
        <v>61</v>
      </c>
      <c r="B22" s="388" t="s">
        <v>62</v>
      </c>
      <c r="C22" s="388" t="s">
        <v>31</v>
      </c>
      <c r="D22" s="401">
        <v>30.0</v>
      </c>
      <c r="E22" s="394">
        <v>5900.0</v>
      </c>
      <c r="F22" s="24">
        <f t="shared" si="1"/>
        <v>196.6666667</v>
      </c>
      <c r="G22" s="386"/>
      <c r="H22" s="399">
        <v>46287.0</v>
      </c>
      <c r="I22" s="3"/>
      <c r="J22" s="3"/>
      <c r="K22" s="3"/>
      <c r="L22" s="3"/>
      <c r="M22" s="3"/>
    </row>
    <row r="23" ht="15.75" customHeight="1">
      <c r="A23" s="386" t="s">
        <v>63</v>
      </c>
      <c r="B23" s="388" t="s">
        <v>64</v>
      </c>
      <c r="C23" s="388" t="s">
        <v>31</v>
      </c>
      <c r="D23" s="401">
        <v>30.0</v>
      </c>
      <c r="E23" s="394">
        <v>5900.0</v>
      </c>
      <c r="F23" s="24">
        <f t="shared" si="1"/>
        <v>196.6666667</v>
      </c>
      <c r="G23" s="386"/>
      <c r="H23" s="399">
        <v>46287.0</v>
      </c>
      <c r="I23" s="3"/>
      <c r="J23" s="3"/>
      <c r="K23" s="3"/>
      <c r="L23" s="3"/>
      <c r="M23" s="3"/>
    </row>
    <row r="24" ht="15.75" customHeight="1">
      <c r="A24" s="386" t="s">
        <v>65</v>
      </c>
      <c r="B24" s="388" t="s">
        <v>66</v>
      </c>
      <c r="C24" s="388" t="s">
        <v>31</v>
      </c>
      <c r="D24" s="401">
        <v>30.0</v>
      </c>
      <c r="E24" s="394">
        <v>5400.0</v>
      </c>
      <c r="F24" s="24">
        <f t="shared" si="1"/>
        <v>180</v>
      </c>
      <c r="G24" s="386"/>
      <c r="H24" s="399">
        <v>46287.0</v>
      </c>
      <c r="I24" s="3"/>
      <c r="J24" s="3"/>
      <c r="K24" s="3"/>
      <c r="L24" s="3"/>
      <c r="M24" s="3"/>
    </row>
    <row r="25" ht="15.75" customHeight="1">
      <c r="A25" s="386" t="s">
        <v>67</v>
      </c>
      <c r="B25" s="388" t="s">
        <v>68</v>
      </c>
      <c r="C25" s="388" t="s">
        <v>31</v>
      </c>
      <c r="D25" s="401">
        <v>30.0</v>
      </c>
      <c r="E25" s="394">
        <v>5800.0</v>
      </c>
      <c r="F25" s="24">
        <f t="shared" si="1"/>
        <v>193.3333333</v>
      </c>
      <c r="G25" s="386"/>
      <c r="H25" s="399">
        <v>46287.0</v>
      </c>
      <c r="I25" s="3"/>
      <c r="J25" s="3"/>
      <c r="K25" s="3"/>
      <c r="L25" s="3"/>
      <c r="M25" s="3"/>
    </row>
    <row r="26" ht="15.75" customHeight="1">
      <c r="A26" s="386" t="s">
        <v>69</v>
      </c>
      <c r="B26" s="388" t="s">
        <v>70</v>
      </c>
      <c r="C26" s="388" t="s">
        <v>31</v>
      </c>
      <c r="D26" s="401">
        <v>30.0</v>
      </c>
      <c r="E26" s="394">
        <v>7000.0</v>
      </c>
      <c r="F26" s="24">
        <f t="shared" si="1"/>
        <v>233.3333333</v>
      </c>
      <c r="G26" s="386"/>
      <c r="H26" s="399">
        <v>46287.0</v>
      </c>
      <c r="I26" s="3"/>
      <c r="J26" s="3"/>
      <c r="K26" s="3"/>
      <c r="L26" s="3"/>
      <c r="M26" s="3"/>
    </row>
    <row r="27" ht="15.75" customHeight="1">
      <c r="A27" s="386" t="s">
        <v>71</v>
      </c>
      <c r="B27" s="388" t="s">
        <v>72</v>
      </c>
      <c r="C27" s="388" t="s">
        <v>31</v>
      </c>
      <c r="D27" s="401">
        <v>30.0</v>
      </c>
      <c r="E27" s="394">
        <v>6500.0</v>
      </c>
      <c r="F27" s="24">
        <f t="shared" si="1"/>
        <v>216.6666667</v>
      </c>
      <c r="G27" s="386"/>
      <c r="H27" s="399">
        <v>46287.0</v>
      </c>
      <c r="I27" s="3"/>
      <c r="J27" s="3"/>
      <c r="K27" s="3"/>
      <c r="L27" s="3"/>
      <c r="M27" s="3"/>
    </row>
    <row r="28" ht="15.75" customHeight="1">
      <c r="A28" s="386" t="s">
        <v>73</v>
      </c>
      <c r="B28" s="388" t="s">
        <v>74</v>
      </c>
      <c r="C28" s="388" t="s">
        <v>31</v>
      </c>
      <c r="D28" s="401">
        <v>30.0</v>
      </c>
      <c r="E28" s="394">
        <v>6400.0</v>
      </c>
      <c r="F28" s="24">
        <f t="shared" si="1"/>
        <v>213.3333333</v>
      </c>
      <c r="G28" s="386"/>
      <c r="H28" s="399">
        <v>46287.0</v>
      </c>
      <c r="I28" s="3"/>
      <c r="J28" s="3"/>
      <c r="K28" s="3"/>
      <c r="L28" s="3"/>
      <c r="M28" s="3"/>
    </row>
    <row r="29" ht="15.75" customHeight="1">
      <c r="A29" s="386" t="s">
        <v>75</v>
      </c>
      <c r="B29" s="388" t="s">
        <v>76</v>
      </c>
      <c r="C29" s="388" t="s">
        <v>31</v>
      </c>
      <c r="D29" s="401">
        <v>30.0</v>
      </c>
      <c r="E29" s="394">
        <v>6800.0</v>
      </c>
      <c r="F29" s="24">
        <f t="shared" si="1"/>
        <v>226.6666667</v>
      </c>
      <c r="G29" s="386"/>
      <c r="H29" s="399">
        <v>46287.0</v>
      </c>
      <c r="I29" s="3"/>
      <c r="J29" s="3"/>
      <c r="K29" s="3"/>
      <c r="L29" s="3"/>
      <c r="M29" s="3"/>
    </row>
    <row r="30" ht="15.75" customHeight="1">
      <c r="A30" s="386" t="s">
        <v>77</v>
      </c>
      <c r="B30" s="388" t="s">
        <v>78</v>
      </c>
      <c r="C30" s="388" t="s">
        <v>26</v>
      </c>
      <c r="D30" s="401">
        <v>900.0</v>
      </c>
      <c r="E30" s="394">
        <v>55000.0</v>
      </c>
      <c r="F30" s="24">
        <f t="shared" si="1"/>
        <v>61.11111111</v>
      </c>
      <c r="G30" s="386"/>
      <c r="H30" s="399">
        <v>46287.0</v>
      </c>
      <c r="I30" s="3"/>
      <c r="J30" s="3"/>
      <c r="K30" s="3"/>
      <c r="L30" s="3"/>
      <c r="M30" s="3"/>
    </row>
    <row r="31" ht="15.75" customHeight="1">
      <c r="A31" s="386" t="s">
        <v>79</v>
      </c>
      <c r="B31" s="388" t="s">
        <v>80</v>
      </c>
      <c r="C31" s="388" t="s">
        <v>26</v>
      </c>
      <c r="D31" s="401">
        <v>100.0</v>
      </c>
      <c r="E31" s="394">
        <v>3500.0</v>
      </c>
      <c r="F31" s="24">
        <f t="shared" si="1"/>
        <v>35</v>
      </c>
      <c r="G31" s="386"/>
      <c r="H31" s="399">
        <v>46287.0</v>
      </c>
      <c r="I31" s="3"/>
      <c r="J31" s="3"/>
      <c r="K31" s="3"/>
      <c r="L31" s="3"/>
      <c r="M31" s="3"/>
    </row>
    <row r="32" ht="15.75" customHeight="1">
      <c r="A32" s="386" t="s">
        <v>81</v>
      </c>
      <c r="B32" s="388" t="s">
        <v>82</v>
      </c>
      <c r="C32" s="388" t="s">
        <v>26</v>
      </c>
      <c r="D32" s="401">
        <v>500.0</v>
      </c>
      <c r="E32" s="394">
        <v>77310.0</v>
      </c>
      <c r="F32" s="24">
        <f t="shared" si="1"/>
        <v>154.62</v>
      </c>
      <c r="G32" s="386"/>
      <c r="H32" s="399">
        <v>46287.0</v>
      </c>
      <c r="I32" s="3"/>
      <c r="J32" s="3"/>
      <c r="K32" s="3"/>
      <c r="L32" s="3"/>
      <c r="M32" s="3"/>
    </row>
    <row r="33" ht="15.75" customHeight="1">
      <c r="A33" s="386" t="s">
        <v>83</v>
      </c>
      <c r="B33" s="388" t="s">
        <v>84</v>
      </c>
      <c r="C33" s="388" t="s">
        <v>26</v>
      </c>
      <c r="D33" s="401">
        <v>100.0</v>
      </c>
      <c r="E33" s="394">
        <v>2500.0</v>
      </c>
      <c r="F33" s="24">
        <f t="shared" si="1"/>
        <v>25</v>
      </c>
      <c r="G33" s="386"/>
      <c r="H33" s="399">
        <v>46287.0</v>
      </c>
      <c r="I33" s="3"/>
      <c r="J33" s="3"/>
      <c r="K33" s="3"/>
      <c r="L33" s="3"/>
      <c r="M33" s="3"/>
    </row>
    <row r="34" ht="15.75" customHeight="1">
      <c r="A34" s="386" t="s">
        <v>85</v>
      </c>
      <c r="B34" s="388" t="s">
        <v>86</v>
      </c>
      <c r="C34" s="388" t="s">
        <v>26</v>
      </c>
      <c r="D34" s="401">
        <v>100.0</v>
      </c>
      <c r="E34" s="394">
        <v>3000.0</v>
      </c>
      <c r="F34" s="24">
        <f t="shared" si="1"/>
        <v>30</v>
      </c>
      <c r="G34" s="386"/>
      <c r="H34" s="399">
        <v>46287.0</v>
      </c>
      <c r="I34" s="3"/>
      <c r="J34" s="3"/>
      <c r="K34" s="3"/>
      <c r="L34" s="3"/>
      <c r="M34" s="3"/>
    </row>
    <row r="35" ht="15.75" customHeight="1">
      <c r="A35" s="386" t="s">
        <v>87</v>
      </c>
      <c r="B35" s="388" t="s">
        <v>88</v>
      </c>
      <c r="C35" s="388" t="s">
        <v>26</v>
      </c>
      <c r="D35" s="401">
        <v>100.0</v>
      </c>
      <c r="E35" s="394">
        <v>3500.0</v>
      </c>
      <c r="F35" s="24">
        <f t="shared" si="1"/>
        <v>35</v>
      </c>
      <c r="G35" s="386"/>
      <c r="H35" s="399">
        <v>46287.0</v>
      </c>
      <c r="I35" s="3"/>
      <c r="J35" s="3"/>
      <c r="K35" s="3"/>
      <c r="L35" s="3"/>
      <c r="M35" s="3"/>
    </row>
    <row r="36" ht="15.75" customHeight="1">
      <c r="A36" s="386" t="s">
        <v>89</v>
      </c>
      <c r="B36" s="388" t="s">
        <v>90</v>
      </c>
      <c r="C36" s="388" t="s">
        <v>26</v>
      </c>
      <c r="D36" s="401">
        <v>100.0</v>
      </c>
      <c r="E36" s="394">
        <v>3000.0</v>
      </c>
      <c r="F36" s="24">
        <f t="shared" si="1"/>
        <v>30</v>
      </c>
      <c r="G36" s="386"/>
      <c r="H36" s="399">
        <v>46287.0</v>
      </c>
      <c r="I36" s="3"/>
      <c r="J36" s="3"/>
      <c r="K36" s="3"/>
      <c r="L36" s="3"/>
      <c r="M36" s="3"/>
    </row>
    <row r="37" ht="15.75" customHeight="1">
      <c r="A37" s="386" t="s">
        <v>91</v>
      </c>
      <c r="B37" s="388" t="s">
        <v>92</v>
      </c>
      <c r="C37" s="388" t="s">
        <v>26</v>
      </c>
      <c r="D37" s="401">
        <v>250.0</v>
      </c>
      <c r="E37" s="394">
        <v>5000.0</v>
      </c>
      <c r="F37" s="24">
        <f t="shared" si="1"/>
        <v>20</v>
      </c>
      <c r="G37" s="386"/>
      <c r="H37" s="399">
        <v>46287.0</v>
      </c>
      <c r="I37" s="3"/>
      <c r="J37" s="3"/>
      <c r="K37" s="3"/>
      <c r="L37" s="3"/>
      <c r="M37" s="3"/>
    </row>
    <row r="38" ht="15.75" customHeight="1">
      <c r="A38" s="386" t="s">
        <v>93</v>
      </c>
      <c r="B38" s="388" t="s">
        <v>94</v>
      </c>
      <c r="C38" s="388" t="s">
        <v>26</v>
      </c>
      <c r="D38" s="401">
        <v>120.0</v>
      </c>
      <c r="E38" s="394">
        <v>7000.0</v>
      </c>
      <c r="F38" s="24">
        <f t="shared" si="1"/>
        <v>58.33333333</v>
      </c>
      <c r="G38" s="386"/>
      <c r="H38" s="399">
        <v>46287.0</v>
      </c>
      <c r="I38" s="3"/>
      <c r="J38" s="3"/>
      <c r="K38" s="3"/>
      <c r="L38" s="3"/>
      <c r="M38" s="3"/>
    </row>
    <row r="39" ht="15.75" customHeight="1">
      <c r="A39" s="386" t="s">
        <v>95</v>
      </c>
      <c r="B39" s="388" t="s">
        <v>96</v>
      </c>
      <c r="C39" s="388" t="s">
        <v>26</v>
      </c>
      <c r="D39" s="401">
        <v>250.0</v>
      </c>
      <c r="E39" s="394">
        <v>12000.0</v>
      </c>
      <c r="F39" s="24">
        <f t="shared" si="1"/>
        <v>48</v>
      </c>
      <c r="G39" s="386"/>
      <c r="H39" s="399">
        <v>46287.0</v>
      </c>
      <c r="I39" s="3"/>
      <c r="J39" s="3"/>
      <c r="K39" s="3"/>
      <c r="L39" s="3"/>
      <c r="M39" s="3"/>
    </row>
    <row r="40" ht="15.75" customHeight="1">
      <c r="A40" s="386" t="s">
        <v>97</v>
      </c>
      <c r="B40" s="388" t="s">
        <v>98</v>
      </c>
      <c r="C40" s="388" t="s">
        <v>26</v>
      </c>
      <c r="D40" s="401">
        <v>250.0</v>
      </c>
      <c r="E40" s="394">
        <v>15000.0</v>
      </c>
      <c r="F40" s="24">
        <f t="shared" si="1"/>
        <v>60</v>
      </c>
      <c r="G40" s="386"/>
      <c r="H40" s="399">
        <v>46287.0</v>
      </c>
      <c r="I40" s="3"/>
      <c r="J40" s="3"/>
      <c r="K40" s="3"/>
      <c r="L40" s="3"/>
      <c r="M40" s="3"/>
    </row>
    <row r="41" ht="15.75" customHeight="1">
      <c r="A41" s="386" t="s">
        <v>99</v>
      </c>
      <c r="B41" s="388" t="s">
        <v>100</v>
      </c>
      <c r="C41" s="388" t="s">
        <v>31</v>
      </c>
      <c r="D41" s="401">
        <v>250.0</v>
      </c>
      <c r="E41" s="394">
        <v>70000.0</v>
      </c>
      <c r="F41" s="24">
        <f t="shared" si="1"/>
        <v>280</v>
      </c>
      <c r="G41" s="386"/>
      <c r="H41" s="399">
        <v>46287.0</v>
      </c>
      <c r="I41" s="3"/>
      <c r="J41" s="3"/>
      <c r="K41" s="3"/>
      <c r="L41" s="3"/>
      <c r="M41" s="3"/>
    </row>
    <row r="42" ht="15.75" customHeight="1">
      <c r="A42" s="386" t="s">
        <v>101</v>
      </c>
      <c r="B42" s="388" t="s">
        <v>102</v>
      </c>
      <c r="C42" s="388" t="s">
        <v>26</v>
      </c>
      <c r="D42" s="401">
        <v>30.0</v>
      </c>
      <c r="E42" s="394">
        <v>7000.0</v>
      </c>
      <c r="F42" s="24">
        <f t="shared" si="1"/>
        <v>233.3333333</v>
      </c>
      <c r="G42" s="386"/>
      <c r="H42" s="399">
        <v>46287.0</v>
      </c>
      <c r="I42" s="3"/>
      <c r="J42" s="3"/>
      <c r="K42" s="3"/>
      <c r="L42" s="3"/>
      <c r="M42" s="3"/>
    </row>
    <row r="43" ht="15.75" customHeight="1">
      <c r="A43" s="386" t="s">
        <v>103</v>
      </c>
      <c r="B43" s="388" t="s">
        <v>104</v>
      </c>
      <c r="C43" s="388" t="s">
        <v>26</v>
      </c>
      <c r="D43" s="401">
        <v>500.0</v>
      </c>
      <c r="E43" s="394">
        <v>58000.0</v>
      </c>
      <c r="F43" s="24">
        <f t="shared" si="1"/>
        <v>116</v>
      </c>
      <c r="G43" s="386"/>
      <c r="H43" s="399">
        <v>46287.0</v>
      </c>
      <c r="I43" s="3"/>
      <c r="J43" s="3"/>
      <c r="K43" s="3"/>
      <c r="L43" s="3"/>
      <c r="M43" s="3"/>
    </row>
    <row r="44" ht="15.75" customHeight="1">
      <c r="A44" s="386" t="s">
        <v>105</v>
      </c>
      <c r="B44" s="388" t="s">
        <v>106</v>
      </c>
      <c r="C44" s="388" t="s">
        <v>31</v>
      </c>
      <c r="D44" s="401">
        <v>30.0</v>
      </c>
      <c r="E44" s="394">
        <v>16000.0</v>
      </c>
      <c r="F44" s="24">
        <f t="shared" si="1"/>
        <v>533.3333333</v>
      </c>
      <c r="G44" s="386"/>
      <c r="H44" s="399">
        <v>46287.0</v>
      </c>
      <c r="I44" s="3"/>
      <c r="J44" s="3"/>
      <c r="K44" s="3"/>
      <c r="L44" s="3"/>
      <c r="M44" s="3"/>
    </row>
    <row r="45" ht="15.75" customHeight="1">
      <c r="A45" s="386" t="s">
        <v>107</v>
      </c>
      <c r="B45" s="395" t="s">
        <v>108</v>
      </c>
      <c r="C45" s="395" t="s">
        <v>26</v>
      </c>
      <c r="D45" s="395">
        <v>27.0</v>
      </c>
      <c r="E45" s="396">
        <v>7000.0</v>
      </c>
      <c r="F45" s="24">
        <f t="shared" si="1"/>
        <v>259.2592593</v>
      </c>
      <c r="G45" s="386"/>
      <c r="H45" s="399">
        <v>46287.0</v>
      </c>
      <c r="I45" s="3"/>
      <c r="J45" s="3"/>
      <c r="K45" s="3"/>
      <c r="L45" s="3"/>
      <c r="M45" s="3"/>
    </row>
    <row r="46" ht="15.75" customHeight="1">
      <c r="A46" s="386" t="s">
        <v>109</v>
      </c>
      <c r="B46" s="395" t="s">
        <v>110</v>
      </c>
      <c r="C46" s="395" t="s">
        <v>26</v>
      </c>
      <c r="D46" s="395">
        <v>30.0</v>
      </c>
      <c r="E46" s="396">
        <v>8000.0</v>
      </c>
      <c r="F46" s="24">
        <f t="shared" si="1"/>
        <v>266.6666667</v>
      </c>
      <c r="G46" s="386"/>
      <c r="H46" s="399">
        <v>46287.0</v>
      </c>
      <c r="I46" s="3"/>
      <c r="J46" s="3"/>
      <c r="K46" s="3"/>
      <c r="L46" s="3"/>
      <c r="M46" s="3"/>
    </row>
    <row r="47" ht="15.75" customHeight="1">
      <c r="A47" s="386" t="s">
        <v>111</v>
      </c>
      <c r="B47" s="395" t="s">
        <v>112</v>
      </c>
      <c r="C47" s="395" t="s">
        <v>26</v>
      </c>
      <c r="D47" s="395">
        <v>85.0</v>
      </c>
      <c r="E47" s="396">
        <v>22000.0</v>
      </c>
      <c r="F47" s="24">
        <f t="shared" si="1"/>
        <v>258.8235294</v>
      </c>
      <c r="G47" s="386"/>
      <c r="H47" s="399">
        <v>46287.0</v>
      </c>
      <c r="I47" s="3"/>
      <c r="J47" s="3"/>
      <c r="K47" s="3"/>
      <c r="L47" s="3"/>
      <c r="M47" s="3"/>
    </row>
    <row r="48" ht="15.75" customHeight="1">
      <c r="A48" s="386" t="s">
        <v>113</v>
      </c>
      <c r="B48" s="386"/>
      <c r="C48" s="386"/>
      <c r="D48" s="386"/>
      <c r="E48" s="412"/>
      <c r="F48" s="24">
        <f t="shared" si="1"/>
        <v>0</v>
      </c>
      <c r="G48" s="386"/>
      <c r="H48" s="386"/>
      <c r="I48" s="3"/>
      <c r="J48" s="3"/>
      <c r="K48" s="3"/>
      <c r="L48" s="3"/>
      <c r="M48" s="3"/>
    </row>
    <row r="49" ht="15.75" customHeight="1">
      <c r="A49" s="386" t="s">
        <v>114</v>
      </c>
      <c r="B49" s="386"/>
      <c r="C49" s="386"/>
      <c r="D49" s="386"/>
      <c r="E49" s="412"/>
      <c r="F49" s="24">
        <f t="shared" si="1"/>
        <v>0</v>
      </c>
      <c r="G49" s="386"/>
      <c r="H49" s="386"/>
      <c r="I49" s="3"/>
      <c r="J49" s="3"/>
      <c r="K49" s="3"/>
      <c r="L49" s="3"/>
      <c r="M49" s="3"/>
    </row>
    <row r="50" ht="15.75" customHeight="1">
      <c r="A50" s="386" t="s">
        <v>115</v>
      </c>
      <c r="B50" s="386"/>
      <c r="C50" s="386"/>
      <c r="D50" s="386"/>
      <c r="E50" s="412"/>
      <c r="F50" s="24">
        <f t="shared" si="1"/>
        <v>0</v>
      </c>
      <c r="G50" s="386"/>
      <c r="H50" s="386"/>
      <c r="I50" s="3"/>
      <c r="J50" s="3"/>
      <c r="K50" s="3"/>
      <c r="L50" s="3"/>
      <c r="M50" s="3"/>
    </row>
    <row r="51" ht="15.75" customHeight="1">
      <c r="A51" s="386" t="s">
        <v>116</v>
      </c>
      <c r="B51" s="386"/>
      <c r="C51" s="386"/>
      <c r="D51" s="386"/>
      <c r="E51" s="412"/>
      <c r="F51" s="24">
        <f t="shared" si="1"/>
        <v>0</v>
      </c>
      <c r="G51" s="386"/>
      <c r="H51" s="386"/>
      <c r="I51" s="3"/>
      <c r="J51" s="3"/>
      <c r="K51" s="3"/>
      <c r="L51" s="3"/>
      <c r="M51" s="3"/>
    </row>
    <row r="52" ht="15.75" customHeight="1">
      <c r="A52" s="386" t="s">
        <v>117</v>
      </c>
      <c r="B52" s="386"/>
      <c r="C52" s="386"/>
      <c r="D52" s="386"/>
      <c r="E52" s="412"/>
      <c r="F52" s="24">
        <f t="shared" si="1"/>
        <v>0</v>
      </c>
      <c r="G52" s="386"/>
      <c r="H52" s="386"/>
      <c r="I52" s="3"/>
      <c r="J52" s="3"/>
      <c r="K52" s="3"/>
      <c r="L52" s="3"/>
      <c r="M52" s="3"/>
    </row>
    <row r="53" ht="15.75" customHeight="1">
      <c r="A53" s="386"/>
      <c r="B53" s="386"/>
      <c r="C53" s="386"/>
      <c r="D53" s="386"/>
      <c r="E53" s="412"/>
      <c r="F53" s="24">
        <f t="shared" si="1"/>
        <v>0</v>
      </c>
      <c r="G53" s="386"/>
      <c r="H53" s="386"/>
      <c r="I53" s="3"/>
      <c r="J53" s="3"/>
      <c r="K53" s="3"/>
      <c r="L53" s="3"/>
      <c r="M53" s="3"/>
    </row>
    <row r="54" ht="15.75" customHeight="1">
      <c r="A54" s="386"/>
      <c r="B54" s="386"/>
      <c r="C54" s="386"/>
      <c r="D54" s="386"/>
      <c r="E54" s="412"/>
      <c r="F54" s="24">
        <f t="shared" si="1"/>
        <v>0</v>
      </c>
      <c r="G54" s="386"/>
      <c r="H54" s="386"/>
      <c r="I54" s="3"/>
      <c r="J54" s="3"/>
      <c r="K54" s="3"/>
      <c r="L54" s="3"/>
      <c r="M54" s="3"/>
    </row>
    <row r="55" ht="15.75" customHeight="1">
      <c r="A55" s="386"/>
      <c r="B55" s="386"/>
      <c r="C55" s="386"/>
      <c r="D55" s="386"/>
      <c r="E55" s="412"/>
      <c r="F55" s="24">
        <f t="shared" si="1"/>
        <v>0</v>
      </c>
      <c r="G55" s="386"/>
      <c r="H55" s="386"/>
      <c r="I55" s="3"/>
      <c r="J55" s="3"/>
      <c r="K55" s="3"/>
      <c r="L55" s="3"/>
      <c r="M55" s="3"/>
    </row>
    <row r="56" ht="15.75" customHeight="1">
      <c r="A56" s="386"/>
      <c r="B56" s="386"/>
      <c r="C56" s="386"/>
      <c r="D56" s="386"/>
      <c r="E56" s="412"/>
      <c r="F56" s="24">
        <f t="shared" si="1"/>
        <v>0</v>
      </c>
      <c r="G56" s="386"/>
      <c r="H56" s="386"/>
      <c r="I56" s="3"/>
      <c r="J56" s="3"/>
      <c r="K56" s="3"/>
      <c r="L56" s="3"/>
      <c r="M56" s="3"/>
    </row>
    <row r="57" ht="15.75" customHeight="1">
      <c r="A57" s="386"/>
      <c r="B57" s="386"/>
      <c r="C57" s="386"/>
      <c r="D57" s="386"/>
      <c r="E57" s="412"/>
      <c r="F57" s="24">
        <f t="shared" si="1"/>
        <v>0</v>
      </c>
      <c r="G57" s="386"/>
      <c r="H57" s="386"/>
      <c r="I57" s="3"/>
      <c r="J57" s="3"/>
      <c r="K57" s="3"/>
      <c r="L57" s="3"/>
      <c r="M57" s="3"/>
    </row>
    <row r="58" ht="15.75" customHeight="1">
      <c r="A58" s="386"/>
      <c r="B58" s="386"/>
      <c r="C58" s="386"/>
      <c r="D58" s="386"/>
      <c r="E58" s="412"/>
      <c r="F58" s="24">
        <f t="shared" si="1"/>
        <v>0</v>
      </c>
      <c r="G58" s="386"/>
      <c r="H58" s="386"/>
      <c r="I58" s="3"/>
      <c r="J58" s="3"/>
      <c r="K58" s="3"/>
      <c r="L58" s="3"/>
      <c r="M58" s="3"/>
    </row>
    <row r="59" ht="15.75" customHeight="1">
      <c r="A59" s="386"/>
      <c r="B59" s="386"/>
      <c r="C59" s="386"/>
      <c r="D59" s="386"/>
      <c r="E59" s="412"/>
      <c r="F59" s="24">
        <f t="shared" si="1"/>
        <v>0</v>
      </c>
      <c r="G59" s="386"/>
      <c r="H59" s="386"/>
      <c r="I59" s="3"/>
      <c r="J59" s="3"/>
      <c r="K59" s="3"/>
      <c r="L59" s="3"/>
      <c r="M59" s="3"/>
    </row>
    <row r="60" ht="15.75" customHeight="1">
      <c r="A60" s="386"/>
      <c r="B60" s="386"/>
      <c r="C60" s="386"/>
      <c r="D60" s="386"/>
      <c r="E60" s="412"/>
      <c r="F60" s="24">
        <f t="shared" si="1"/>
        <v>0</v>
      </c>
      <c r="G60" s="386"/>
      <c r="H60" s="386"/>
      <c r="I60" s="3"/>
      <c r="J60" s="3"/>
      <c r="K60" s="3"/>
      <c r="L60" s="3"/>
      <c r="M60" s="3"/>
    </row>
    <row r="61" ht="15.75" customHeight="1">
      <c r="A61" s="386"/>
      <c r="B61" s="386"/>
      <c r="C61" s="386"/>
      <c r="D61" s="386"/>
      <c r="E61" s="412"/>
      <c r="F61" s="24">
        <f t="shared" si="1"/>
        <v>0</v>
      </c>
      <c r="G61" s="386"/>
      <c r="H61" s="386"/>
      <c r="I61" s="3"/>
      <c r="J61" s="3"/>
      <c r="K61" s="3"/>
      <c r="L61" s="3"/>
      <c r="M61" s="3"/>
    </row>
    <row r="62" ht="15.75" customHeight="1">
      <c r="A62" s="386"/>
      <c r="B62" s="386"/>
      <c r="C62" s="386"/>
      <c r="D62" s="386"/>
      <c r="E62" s="412"/>
      <c r="F62" s="24">
        <f t="shared" si="1"/>
        <v>0</v>
      </c>
      <c r="G62" s="386"/>
      <c r="H62" s="386"/>
      <c r="I62" s="3"/>
      <c r="J62" s="3"/>
      <c r="K62" s="3"/>
      <c r="L62" s="3"/>
      <c r="M62" s="3"/>
    </row>
    <row r="63" ht="15.75" customHeight="1">
      <c r="A63" s="386"/>
      <c r="B63" s="386"/>
      <c r="C63" s="386"/>
      <c r="D63" s="386"/>
      <c r="E63" s="412"/>
      <c r="F63" s="24">
        <f t="shared" si="1"/>
        <v>0</v>
      </c>
      <c r="G63" s="386"/>
      <c r="H63" s="386"/>
      <c r="I63" s="3"/>
      <c r="J63" s="3"/>
      <c r="K63" s="3"/>
      <c r="L63" s="3"/>
      <c r="M63" s="3"/>
    </row>
    <row r="64" ht="15.75" customHeight="1">
      <c r="A64" s="386"/>
      <c r="B64" s="386"/>
      <c r="C64" s="386"/>
      <c r="D64" s="386"/>
      <c r="E64" s="412"/>
      <c r="F64" s="24">
        <f t="shared" si="1"/>
        <v>0</v>
      </c>
      <c r="G64" s="386"/>
      <c r="H64" s="386"/>
      <c r="I64" s="3"/>
      <c r="J64" s="3"/>
      <c r="K64" s="3"/>
      <c r="L64" s="3"/>
      <c r="M64" s="3"/>
    </row>
    <row r="65" ht="15.75" customHeight="1">
      <c r="A65" s="386"/>
      <c r="B65" s="386"/>
      <c r="C65" s="386"/>
      <c r="D65" s="386"/>
      <c r="E65" s="412"/>
      <c r="F65" s="24">
        <f t="shared" si="1"/>
        <v>0</v>
      </c>
      <c r="G65" s="386"/>
      <c r="H65" s="386"/>
      <c r="I65" s="3"/>
      <c r="J65" s="3"/>
      <c r="K65" s="3"/>
      <c r="L65" s="3"/>
      <c r="M65" s="3"/>
    </row>
    <row r="66" ht="15.75" customHeight="1">
      <c r="A66" s="386"/>
      <c r="B66" s="386"/>
      <c r="C66" s="386"/>
      <c r="D66" s="386"/>
      <c r="E66" s="412"/>
      <c r="F66" s="24">
        <f t="shared" si="1"/>
        <v>0</v>
      </c>
      <c r="G66" s="386"/>
      <c r="H66" s="386"/>
      <c r="I66" s="3"/>
      <c r="J66" s="3"/>
      <c r="K66" s="3"/>
      <c r="L66" s="3"/>
      <c r="M66" s="3"/>
    </row>
    <row r="67" ht="15.75" customHeight="1">
      <c r="A67" s="386"/>
      <c r="B67" s="386"/>
      <c r="C67" s="386"/>
      <c r="D67" s="386"/>
      <c r="E67" s="412"/>
      <c r="F67" s="24">
        <f t="shared" si="1"/>
        <v>0</v>
      </c>
      <c r="G67" s="386"/>
      <c r="H67" s="386"/>
      <c r="I67" s="3"/>
      <c r="J67" s="3"/>
      <c r="K67" s="3"/>
      <c r="L67" s="3"/>
      <c r="M67" s="3"/>
    </row>
    <row r="68" ht="15.75" customHeight="1">
      <c r="A68" s="386"/>
      <c r="B68" s="386"/>
      <c r="C68" s="386"/>
      <c r="D68" s="386"/>
      <c r="E68" s="412"/>
      <c r="F68" s="24">
        <f t="shared" si="1"/>
        <v>0</v>
      </c>
      <c r="G68" s="386"/>
      <c r="H68" s="386"/>
      <c r="I68" s="3"/>
      <c r="J68" s="3"/>
      <c r="K68" s="3"/>
      <c r="L68" s="3"/>
      <c r="M68" s="3"/>
    </row>
    <row r="69" ht="15.75" customHeight="1">
      <c r="A69" s="386"/>
      <c r="B69" s="386"/>
      <c r="C69" s="386"/>
      <c r="D69" s="386"/>
      <c r="E69" s="412"/>
      <c r="F69" s="24">
        <f t="shared" si="1"/>
        <v>0</v>
      </c>
      <c r="G69" s="386"/>
      <c r="H69" s="386"/>
      <c r="I69" s="3"/>
      <c r="J69" s="3"/>
      <c r="K69" s="3"/>
      <c r="L69" s="3"/>
      <c r="M69" s="3"/>
    </row>
    <row r="70" ht="15.75" customHeight="1">
      <c r="A70" s="386"/>
      <c r="B70" s="386"/>
      <c r="C70" s="386"/>
      <c r="D70" s="386"/>
      <c r="E70" s="412"/>
      <c r="F70" s="24">
        <f t="shared" si="1"/>
        <v>0</v>
      </c>
      <c r="G70" s="386"/>
      <c r="H70" s="386"/>
      <c r="I70" s="3"/>
      <c r="J70" s="3"/>
      <c r="K70" s="3"/>
      <c r="L70" s="3"/>
      <c r="M70" s="3"/>
    </row>
    <row r="71" ht="15.75" customHeight="1">
      <c r="A71" s="386"/>
      <c r="B71" s="386"/>
      <c r="C71" s="386"/>
      <c r="D71" s="386"/>
      <c r="E71" s="412"/>
      <c r="F71" s="24">
        <f t="shared" si="1"/>
        <v>0</v>
      </c>
      <c r="G71" s="386"/>
      <c r="H71" s="386"/>
      <c r="I71" s="3"/>
      <c r="J71" s="3"/>
      <c r="K71" s="3"/>
      <c r="L71" s="3"/>
      <c r="M71" s="3"/>
    </row>
    <row r="72" ht="15.75" customHeight="1">
      <c r="A72" s="386"/>
      <c r="B72" s="386"/>
      <c r="C72" s="386"/>
      <c r="D72" s="386"/>
      <c r="E72" s="412"/>
      <c r="F72" s="24">
        <f t="shared" si="1"/>
        <v>0</v>
      </c>
      <c r="G72" s="386"/>
      <c r="H72" s="386"/>
      <c r="I72" s="3"/>
      <c r="J72" s="3"/>
      <c r="K72" s="3"/>
      <c r="L72" s="3"/>
      <c r="M72" s="3"/>
    </row>
    <row r="73" ht="15.75" customHeight="1">
      <c r="A73" s="386"/>
      <c r="B73" s="386"/>
      <c r="C73" s="386"/>
      <c r="D73" s="386"/>
      <c r="E73" s="412"/>
      <c r="F73" s="24">
        <f t="shared" si="1"/>
        <v>0</v>
      </c>
      <c r="G73" s="386"/>
      <c r="H73" s="386"/>
      <c r="I73" s="3"/>
      <c r="J73" s="3"/>
      <c r="K73" s="3"/>
      <c r="L73" s="3"/>
      <c r="M73" s="3"/>
    </row>
    <row r="74" ht="15.75" customHeight="1">
      <c r="A74" s="386"/>
      <c r="B74" s="386"/>
      <c r="C74" s="386"/>
      <c r="D74" s="386"/>
      <c r="E74" s="412"/>
      <c r="F74" s="24">
        <f t="shared" si="1"/>
        <v>0</v>
      </c>
      <c r="G74" s="386"/>
      <c r="H74" s="386"/>
      <c r="I74" s="3"/>
      <c r="J74" s="3"/>
      <c r="K74" s="3"/>
      <c r="L74" s="3"/>
      <c r="M74" s="3"/>
    </row>
    <row r="75" ht="15.75" customHeight="1">
      <c r="A75" s="386"/>
      <c r="B75" s="386"/>
      <c r="C75" s="386"/>
      <c r="D75" s="386"/>
      <c r="E75" s="412"/>
      <c r="F75" s="24">
        <f t="shared" si="1"/>
        <v>0</v>
      </c>
      <c r="G75" s="386"/>
      <c r="H75" s="386"/>
      <c r="I75" s="3"/>
      <c r="J75" s="3"/>
      <c r="K75" s="3"/>
      <c r="L75" s="3"/>
      <c r="M75" s="3"/>
    </row>
    <row r="76" ht="15.75" customHeight="1">
      <c r="A76" s="386"/>
      <c r="B76" s="386"/>
      <c r="C76" s="386"/>
      <c r="D76" s="386"/>
      <c r="E76" s="412"/>
      <c r="F76" s="24">
        <f t="shared" si="1"/>
        <v>0</v>
      </c>
      <c r="G76" s="386"/>
      <c r="H76" s="386"/>
      <c r="I76" s="3"/>
      <c r="J76" s="3"/>
      <c r="K76" s="3"/>
      <c r="L76" s="3"/>
      <c r="M76" s="3"/>
    </row>
    <row r="77" ht="15.75" customHeight="1">
      <c r="A77" s="386"/>
      <c r="B77" s="386"/>
      <c r="C77" s="386"/>
      <c r="D77" s="386"/>
      <c r="E77" s="412"/>
      <c r="F77" s="24">
        <f t="shared" si="1"/>
        <v>0</v>
      </c>
      <c r="G77" s="386"/>
      <c r="H77" s="386"/>
      <c r="I77" s="3"/>
      <c r="J77" s="3"/>
      <c r="K77" s="3"/>
      <c r="L77" s="3"/>
      <c r="M77" s="3"/>
    </row>
    <row r="78" ht="15.75" customHeight="1">
      <c r="A78" s="386"/>
      <c r="B78" s="386"/>
      <c r="C78" s="386"/>
      <c r="D78" s="386"/>
      <c r="E78" s="412"/>
      <c r="F78" s="24">
        <f t="shared" si="1"/>
        <v>0</v>
      </c>
      <c r="G78" s="386"/>
      <c r="H78" s="386"/>
      <c r="I78" s="3"/>
      <c r="J78" s="3"/>
      <c r="K78" s="3"/>
      <c r="L78" s="3"/>
      <c r="M78" s="3"/>
    </row>
    <row r="79" ht="15.75" customHeight="1">
      <c r="A79" s="386"/>
      <c r="B79" s="386"/>
      <c r="C79" s="386"/>
      <c r="D79" s="386"/>
      <c r="E79" s="412"/>
      <c r="F79" s="24">
        <f t="shared" si="1"/>
        <v>0</v>
      </c>
      <c r="G79" s="386"/>
      <c r="H79" s="386"/>
      <c r="I79" s="3"/>
      <c r="J79" s="3"/>
      <c r="K79" s="3"/>
      <c r="L79" s="3"/>
      <c r="M79" s="3"/>
    </row>
    <row r="80" ht="15.75" customHeight="1">
      <c r="A80" s="386"/>
      <c r="B80" s="386"/>
      <c r="C80" s="386"/>
      <c r="D80" s="386"/>
      <c r="E80" s="412"/>
      <c r="F80" s="24">
        <f t="shared" si="1"/>
        <v>0</v>
      </c>
      <c r="G80" s="386"/>
      <c r="H80" s="386"/>
      <c r="I80" s="3"/>
      <c r="J80" s="3"/>
      <c r="K80" s="3"/>
      <c r="L80" s="3"/>
      <c r="M80" s="3"/>
    </row>
    <row r="81" ht="15.75" customHeight="1">
      <c r="A81" s="386"/>
      <c r="B81" s="386"/>
      <c r="C81" s="386"/>
      <c r="D81" s="386"/>
      <c r="E81" s="412"/>
      <c r="F81" s="24">
        <f t="shared" si="1"/>
        <v>0</v>
      </c>
      <c r="G81" s="386"/>
      <c r="H81" s="386"/>
      <c r="I81" s="3"/>
      <c r="J81" s="3"/>
      <c r="K81" s="3"/>
      <c r="L81" s="3"/>
      <c r="M81" s="3"/>
    </row>
    <row r="82" ht="15.75" customHeight="1">
      <c r="A82" s="386"/>
      <c r="B82" s="386"/>
      <c r="C82" s="386"/>
      <c r="D82" s="386"/>
      <c r="E82" s="412"/>
      <c r="F82" s="24">
        <f t="shared" si="1"/>
        <v>0</v>
      </c>
      <c r="G82" s="386"/>
      <c r="H82" s="386"/>
      <c r="I82" s="3"/>
      <c r="J82" s="3"/>
      <c r="K82" s="3"/>
      <c r="L82" s="3"/>
      <c r="M82" s="3"/>
    </row>
    <row r="83" ht="15.75" customHeight="1">
      <c r="A83" s="386"/>
      <c r="B83" s="386"/>
      <c r="C83" s="386"/>
      <c r="D83" s="386"/>
      <c r="E83" s="412"/>
      <c r="F83" s="24">
        <f t="shared" si="1"/>
        <v>0</v>
      </c>
      <c r="G83" s="386"/>
      <c r="H83" s="386"/>
      <c r="I83" s="3"/>
      <c r="J83" s="3"/>
      <c r="K83" s="3"/>
      <c r="L83" s="3"/>
      <c r="M83" s="3"/>
    </row>
    <row r="84" ht="15.75" customHeight="1">
      <c r="A84" s="386"/>
      <c r="B84" s="386"/>
      <c r="C84" s="386"/>
      <c r="D84" s="386"/>
      <c r="E84" s="412"/>
      <c r="F84" s="24">
        <f t="shared" si="1"/>
        <v>0</v>
      </c>
      <c r="G84" s="386"/>
      <c r="H84" s="386"/>
      <c r="I84" s="3"/>
      <c r="J84" s="3"/>
      <c r="K84" s="3"/>
      <c r="L84" s="3"/>
      <c r="M84" s="3"/>
    </row>
    <row r="85" ht="15.75" customHeight="1">
      <c r="A85" s="386"/>
      <c r="B85" s="386"/>
      <c r="C85" s="386"/>
      <c r="D85" s="386"/>
      <c r="E85" s="412"/>
      <c r="F85" s="24">
        <f t="shared" si="1"/>
        <v>0</v>
      </c>
      <c r="G85" s="386"/>
      <c r="H85" s="386"/>
      <c r="I85" s="3"/>
      <c r="J85" s="3"/>
      <c r="K85" s="3"/>
      <c r="L85" s="3"/>
      <c r="M85" s="3"/>
    </row>
    <row r="86" ht="15.75" customHeight="1">
      <c r="A86" s="386"/>
      <c r="B86" s="386"/>
      <c r="C86" s="386"/>
      <c r="D86" s="386"/>
      <c r="E86" s="412"/>
      <c r="F86" s="24">
        <f t="shared" si="1"/>
        <v>0</v>
      </c>
      <c r="G86" s="386"/>
      <c r="H86" s="386"/>
      <c r="I86" s="3"/>
      <c r="J86" s="3"/>
      <c r="K86" s="3"/>
      <c r="L86" s="3"/>
      <c r="M86" s="3"/>
    </row>
    <row r="87" ht="15.75" customHeight="1">
      <c r="A87" s="386"/>
      <c r="B87" s="386"/>
      <c r="C87" s="386"/>
      <c r="D87" s="386"/>
      <c r="E87" s="412"/>
      <c r="F87" s="24">
        <f t="shared" si="1"/>
        <v>0</v>
      </c>
      <c r="G87" s="386"/>
      <c r="H87" s="386"/>
      <c r="I87" s="3"/>
      <c r="J87" s="3"/>
      <c r="K87" s="3"/>
      <c r="L87" s="3"/>
      <c r="M87" s="3"/>
    </row>
    <row r="88" ht="15.75" customHeight="1">
      <c r="A88" s="386"/>
      <c r="B88" s="386"/>
      <c r="C88" s="386"/>
      <c r="D88" s="386"/>
      <c r="E88" s="412"/>
      <c r="F88" s="24">
        <f t="shared" si="1"/>
        <v>0</v>
      </c>
      <c r="G88" s="386"/>
      <c r="H88" s="386"/>
      <c r="I88" s="3"/>
      <c r="J88" s="3"/>
      <c r="K88" s="3"/>
      <c r="L88" s="3"/>
      <c r="M88" s="3"/>
    </row>
    <row r="89" ht="15.75" customHeight="1">
      <c r="A89" s="386"/>
      <c r="B89" s="386"/>
      <c r="C89" s="386"/>
      <c r="D89" s="386"/>
      <c r="E89" s="412"/>
      <c r="F89" s="24">
        <f t="shared" si="1"/>
        <v>0</v>
      </c>
      <c r="G89" s="386"/>
      <c r="H89" s="386"/>
      <c r="I89" s="3"/>
      <c r="J89" s="3"/>
      <c r="K89" s="3"/>
      <c r="L89" s="3"/>
      <c r="M89" s="3"/>
    </row>
    <row r="90" ht="15.75" customHeight="1">
      <c r="A90" s="386"/>
      <c r="B90" s="386"/>
      <c r="C90" s="386"/>
      <c r="D90" s="386"/>
      <c r="E90" s="412"/>
      <c r="F90" s="24">
        <f t="shared" si="1"/>
        <v>0</v>
      </c>
      <c r="G90" s="386"/>
      <c r="H90" s="386"/>
      <c r="I90" s="3"/>
      <c r="J90" s="3"/>
      <c r="K90" s="3"/>
      <c r="L90" s="3"/>
      <c r="M90" s="3"/>
    </row>
    <row r="91" ht="15.75" customHeight="1">
      <c r="A91" s="386"/>
      <c r="B91" s="386"/>
      <c r="C91" s="386"/>
      <c r="D91" s="386"/>
      <c r="E91" s="412"/>
      <c r="F91" s="24">
        <f t="shared" si="1"/>
        <v>0</v>
      </c>
      <c r="G91" s="386"/>
      <c r="H91" s="386"/>
      <c r="I91" s="3"/>
      <c r="J91" s="3"/>
      <c r="K91" s="3"/>
      <c r="L91" s="3"/>
      <c r="M91" s="3"/>
    </row>
    <row r="92" ht="15.75" customHeight="1">
      <c r="A92" s="386"/>
      <c r="B92" s="386"/>
      <c r="C92" s="386"/>
      <c r="D92" s="386"/>
      <c r="E92" s="412"/>
      <c r="F92" s="24">
        <f t="shared" si="1"/>
        <v>0</v>
      </c>
      <c r="G92" s="386"/>
      <c r="H92" s="386"/>
      <c r="I92" s="3"/>
      <c r="J92" s="3"/>
      <c r="K92" s="3"/>
      <c r="L92" s="3"/>
      <c r="M92" s="3"/>
    </row>
    <row r="93" ht="15.75" customHeight="1">
      <c r="A93" s="386"/>
      <c r="B93" s="386"/>
      <c r="C93" s="386"/>
      <c r="D93" s="386"/>
      <c r="E93" s="412"/>
      <c r="F93" s="24">
        <f t="shared" si="1"/>
        <v>0</v>
      </c>
      <c r="G93" s="386"/>
      <c r="H93" s="386"/>
      <c r="I93" s="3"/>
      <c r="J93" s="3"/>
      <c r="K93" s="3"/>
      <c r="L93" s="3"/>
      <c r="M93" s="3"/>
    </row>
    <row r="94" ht="15.75" customHeight="1">
      <c r="A94" s="386"/>
      <c r="B94" s="386"/>
      <c r="C94" s="386"/>
      <c r="D94" s="386"/>
      <c r="E94" s="412"/>
      <c r="F94" s="24">
        <f t="shared" si="1"/>
        <v>0</v>
      </c>
      <c r="G94" s="386"/>
      <c r="H94" s="386"/>
      <c r="I94" s="3"/>
      <c r="J94" s="3"/>
      <c r="K94" s="3"/>
      <c r="L94" s="3"/>
      <c r="M94" s="3"/>
    </row>
    <row r="95" ht="15.75" customHeight="1">
      <c r="A95" s="386"/>
      <c r="B95" s="386"/>
      <c r="C95" s="386"/>
      <c r="D95" s="386"/>
      <c r="E95" s="412"/>
      <c r="F95" s="24">
        <f t="shared" si="1"/>
        <v>0</v>
      </c>
      <c r="G95" s="386"/>
      <c r="H95" s="386"/>
      <c r="I95" s="3"/>
      <c r="J95" s="3"/>
      <c r="K95" s="3"/>
      <c r="L95" s="3"/>
      <c r="M95" s="3"/>
    </row>
    <row r="96" ht="15.75" customHeight="1">
      <c r="A96" s="386"/>
      <c r="B96" s="386"/>
      <c r="C96" s="386"/>
      <c r="D96" s="386"/>
      <c r="E96" s="412"/>
      <c r="F96" s="24">
        <f t="shared" si="1"/>
        <v>0</v>
      </c>
      <c r="G96" s="386"/>
      <c r="H96" s="386"/>
      <c r="I96" s="3"/>
      <c r="J96" s="3"/>
      <c r="K96" s="3"/>
      <c r="L96" s="3"/>
      <c r="M96" s="3"/>
    </row>
    <row r="97" ht="15.75" customHeight="1">
      <c r="A97" s="386"/>
      <c r="B97" s="386"/>
      <c r="C97" s="386"/>
      <c r="D97" s="386"/>
      <c r="E97" s="412"/>
      <c r="F97" s="24">
        <f t="shared" si="1"/>
        <v>0</v>
      </c>
      <c r="G97" s="386"/>
      <c r="H97" s="386"/>
      <c r="I97" s="3"/>
      <c r="J97" s="3"/>
      <c r="K97" s="3"/>
      <c r="L97" s="3"/>
      <c r="M97" s="3"/>
    </row>
    <row r="98" ht="15.75" customHeight="1">
      <c r="A98" s="386"/>
      <c r="B98" s="386"/>
      <c r="C98" s="386"/>
      <c r="D98" s="386"/>
      <c r="E98" s="412"/>
      <c r="F98" s="24">
        <f t="shared" si="1"/>
        <v>0</v>
      </c>
      <c r="G98" s="386"/>
      <c r="H98" s="386"/>
      <c r="I98" s="3"/>
      <c r="J98" s="3"/>
      <c r="K98" s="3"/>
      <c r="L98" s="3"/>
      <c r="M98" s="3"/>
    </row>
    <row r="99" ht="15.75" customHeight="1">
      <c r="A99" s="386"/>
      <c r="B99" s="386"/>
      <c r="C99" s="386"/>
      <c r="D99" s="386"/>
      <c r="E99" s="412"/>
      <c r="F99" s="24">
        <f t="shared" si="1"/>
        <v>0</v>
      </c>
      <c r="G99" s="386"/>
      <c r="H99" s="386"/>
      <c r="I99" s="3"/>
      <c r="J99" s="3"/>
      <c r="K99" s="3"/>
      <c r="L99" s="3"/>
      <c r="M99" s="3"/>
    </row>
    <row r="100" ht="15.75" customHeight="1">
      <c r="A100" s="386"/>
      <c r="B100" s="386"/>
      <c r="C100" s="386"/>
      <c r="D100" s="386"/>
      <c r="E100" s="412"/>
      <c r="F100" s="24">
        <f t="shared" si="1"/>
        <v>0</v>
      </c>
      <c r="G100" s="386"/>
      <c r="H100" s="386"/>
      <c r="I100" s="3"/>
      <c r="J100" s="3"/>
      <c r="K100" s="3"/>
      <c r="L100" s="3"/>
      <c r="M100" s="3"/>
    </row>
    <row r="101" ht="15.75" customHeight="1">
      <c r="A101" s="386"/>
      <c r="B101" s="386"/>
      <c r="C101" s="386"/>
      <c r="D101" s="386"/>
      <c r="E101" s="412"/>
      <c r="F101" s="24">
        <f t="shared" si="1"/>
        <v>0</v>
      </c>
      <c r="G101" s="386"/>
      <c r="H101" s="386"/>
      <c r="I101" s="3"/>
      <c r="J101" s="3"/>
      <c r="K101" s="3"/>
      <c r="L101" s="3"/>
      <c r="M101" s="3"/>
    </row>
    <row r="102" ht="15.75" customHeight="1">
      <c r="A102" s="386"/>
      <c r="B102" s="386"/>
      <c r="C102" s="386"/>
      <c r="D102" s="386"/>
      <c r="E102" s="412"/>
      <c r="F102" s="24">
        <f t="shared" si="1"/>
        <v>0</v>
      </c>
      <c r="G102" s="386"/>
      <c r="H102" s="386"/>
      <c r="I102" s="3"/>
      <c r="J102" s="3"/>
      <c r="K102" s="3"/>
      <c r="L102" s="3"/>
      <c r="M102" s="3"/>
    </row>
    <row r="103" ht="15.75" customHeight="1">
      <c r="A103" s="386"/>
      <c r="B103" s="386"/>
      <c r="C103" s="386"/>
      <c r="D103" s="386"/>
      <c r="E103" s="412"/>
      <c r="F103" s="24">
        <f t="shared" si="1"/>
        <v>0</v>
      </c>
      <c r="G103" s="386"/>
      <c r="H103" s="386"/>
      <c r="I103" s="3"/>
      <c r="J103" s="3"/>
      <c r="K103" s="3"/>
      <c r="L103" s="3"/>
      <c r="M103" s="3"/>
    </row>
    <row r="104" ht="15.75" customHeight="1">
      <c r="A104" s="386"/>
      <c r="B104" s="386"/>
      <c r="C104" s="386"/>
      <c r="D104" s="386"/>
      <c r="E104" s="412"/>
      <c r="F104" s="24">
        <f t="shared" si="1"/>
        <v>0</v>
      </c>
      <c r="G104" s="386"/>
      <c r="H104" s="386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sheetProtection sheet="1" objects="1" scenarios="1" selectLockedCells="1" selectUnlockedCells="0"/>
  <mergeCells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ColWidth="12.630000114440918" defaultRowHeight="15"/>
  <cols>
    <col min="1" max="1" width="10" customWidth="1"/>
    <col min="2" max="2" width="28" customWidth="1"/>
    <col min="3" max="3" width="14" customWidth="1"/>
    <col min="4" max="5" width="15" customWidth="1"/>
    <col min="6" max="6" width="19" customWidth="1"/>
    <col min="7" max="8" width="16" customWidth="1"/>
    <col min="9" max="9" width="20" customWidth="1"/>
    <col min="10" max="10" width="17" customWidth="1"/>
    <col min="11" max="11" width="18" customWidth="1"/>
    <col min="12" max="12" width="17" customWidth="1"/>
    <col min="13" max="13" width="18" customWidth="1"/>
    <col min="14" max="14" width="19" customWidth="1"/>
    <col min="15" max="15" width="22" customWidth="1"/>
    <col min="16" max="26" width="8.630000114440918" customWidth="1"/>
  </cols>
  <sheetData>
    <row r="1">
      <c r="A1" s="1" t="s">
        <v>118</v>
      </c>
    </row>
    <row r="3">
      <c r="A3" s="4" t="s">
        <v>119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6" t="s">
        <v>120</v>
      </c>
      <c r="B5" s="6" t="s">
        <v>121</v>
      </c>
      <c r="C5" s="6" t="s">
        <v>122</v>
      </c>
      <c r="D5" s="6" t="s">
        <v>123</v>
      </c>
      <c r="E5" s="6" t="s">
        <v>124</v>
      </c>
      <c r="F5" s="6" t="s">
        <v>125</v>
      </c>
      <c r="G5" s="6" t="s">
        <v>126</v>
      </c>
      <c r="H5" s="6" t="s">
        <v>127</v>
      </c>
      <c r="I5" s="6" t="s">
        <v>128</v>
      </c>
      <c r="J5" s="6" t="s">
        <v>129</v>
      </c>
      <c r="K5" s="6" t="s">
        <v>130</v>
      </c>
      <c r="L5" s="6" t="s">
        <v>131</v>
      </c>
      <c r="M5" s="6" t="s">
        <v>132</v>
      </c>
      <c r="N5" s="9" t="s">
        <v>133</v>
      </c>
      <c r="O5" s="9" t="s">
        <v>134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135</v>
      </c>
      <c r="B6" s="389" t="s">
        <v>136</v>
      </c>
      <c r="C6" s="391">
        <v>12.0</v>
      </c>
      <c r="D6" s="391">
        <v>1380.0</v>
      </c>
      <c r="E6" s="391">
        <v>115.0</v>
      </c>
      <c r="F6" s="395" t="s">
        <v>137</v>
      </c>
      <c r="G6" s="396">
        <v>13000.0</v>
      </c>
      <c r="H6" s="397">
        <v>0.6</v>
      </c>
      <c r="I6" s="24" t="n">
        <f>SUMIF(RECETAS!$A$6:$A$605,A6,RECETAS!$G$6:$G$605)</f>
        <v>34301.4771239</v>
      </c>
      <c r="J6" s="24" t="n">
        <f>SUMIF('OTROS COSTOS'!$A$6:$A$245,A6,'OTROS COSTOS'!$G$6:$G$245)</f>
        <v>21368</v>
      </c>
      <c r="K6" s="24" t="n">
        <f t="shared" ref="K6:K35" si="1">I6+J6</f>
        <v>55669.4771239</v>
      </c>
      <c r="L6" s="24" t="n">
        <f t="shared" ref="L6:L35" si="2">IFERROR(K6/C6,0)</f>
        <v>4639.123093658333</v>
      </c>
      <c r="M6" s="24" t="n">
        <f t="shared" ref="M6:M35" si="3">IFERROR(L6/(1-H6),0)</f>
        <v>11597.807734145832</v>
      </c>
      <c r="N6" s="34" t="n">
        <f t="shared" ref="N6:N35" si="4">IFERROR((G6-L6)/L6,0)</f>
        <v>1.8022537314801925</v>
      </c>
      <c r="O6" s="35" t="n">
        <f t="shared" ref="O6:O35" si="5">IFERROR(ROUNDUP(M6/500,0)*500,0)</f>
        <v>12000</v>
      </c>
    </row>
    <row r="7">
      <c r="A7" s="13" t="s">
        <v>138</v>
      </c>
      <c r="B7" s="388" t="s">
        <v>139</v>
      </c>
      <c r="C7" s="391">
        <v>12.0</v>
      </c>
      <c r="D7" s="391">
        <v>1380.0</v>
      </c>
      <c r="E7" s="391">
        <v>115.0</v>
      </c>
      <c r="F7" s="395" t="s">
        <v>137</v>
      </c>
      <c r="G7" s="396">
        <v>13000.0</v>
      </c>
      <c r="H7" s="397">
        <v>0.6</v>
      </c>
      <c r="I7" s="24" t="n">
        <f>SUMIF(RECETAS!$A$6:$A$605,A7,RECETAS!$G$6:$G$605)</f>
        <v>29184.6666663</v>
      </c>
      <c r="J7" s="24" t="n">
        <f>SUMIF('OTROS COSTOS'!$A$6:$A$245,A7,'OTROS COSTOS'!$G$6:$G$245)</f>
        <v>21368</v>
      </c>
      <c r="K7" s="24">
        <f t="shared" si="1"/>
        <v>50552.66667</v>
      </c>
      <c r="L7" s="24">
        <f t="shared" si="2"/>
        <v>4212.722222</v>
      </c>
      <c r="M7" s="24">
        <f t="shared" si="3"/>
        <v>10531.80556</v>
      </c>
      <c r="N7" s="34">
        <f t="shared" si="4"/>
        <v>2.085890622</v>
      </c>
      <c r="O7" s="35">
        <f t="shared" si="5"/>
        <v>11000</v>
      </c>
    </row>
    <row r="8">
      <c r="A8" s="13" t="s">
        <v>140</v>
      </c>
      <c r="B8" s="389" t="s">
        <v>141</v>
      </c>
      <c r="C8" s="411">
        <v>12.0</v>
      </c>
      <c r="D8" s="391">
        <v>1440.0</v>
      </c>
      <c r="E8" s="391">
        <v>120.0</v>
      </c>
      <c r="F8" s="395" t="s">
        <v>137</v>
      </c>
      <c r="G8" s="396">
        <v>15000.0</v>
      </c>
      <c r="H8" s="397">
        <v>0.6</v>
      </c>
      <c r="I8" s="24" t="n">
        <f>SUMIF(RECETAS!$A$6:$A$605,A8,RECETAS!$G$6:$G$605)</f>
        <v>47625.333333400005</v>
      </c>
      <c r="J8" s="24" t="n">
        <f>SUMIF('OTROS COSTOS'!$A$6:$A$245,A8,'OTROS COSTOS'!$G$6:$G$245)</f>
        <v>19784</v>
      </c>
      <c r="K8" s="24">
        <f t="shared" si="1"/>
        <v>67409.33333</v>
      </c>
      <c r="L8" s="24">
        <f t="shared" si="2"/>
        <v>5617.444444</v>
      </c>
      <c r="M8" s="24">
        <f t="shared" si="3"/>
        <v>14043.61111</v>
      </c>
      <c r="N8" s="34">
        <f t="shared" si="4"/>
        <v>1.670253377</v>
      </c>
      <c r="O8" s="35">
        <f t="shared" si="5"/>
        <v>14500</v>
      </c>
    </row>
    <row r="9">
      <c r="A9" s="13" t="s">
        <v>142</v>
      </c>
      <c r="B9" s="389" t="s">
        <v>143</v>
      </c>
      <c r="C9" s="391">
        <v>0.0</v>
      </c>
      <c r="D9" s="391">
        <v>0.0</v>
      </c>
      <c r="E9" s="391">
        <v>0.0</v>
      </c>
      <c r="F9" s="395" t="s">
        <v>137</v>
      </c>
      <c r="G9" s="396">
        <v>0.0</v>
      </c>
      <c r="H9" s="397">
        <v>0.6</v>
      </c>
      <c r="I9" s="24" t="n">
        <f>SUMIF(RECETAS!$A$6:$A$605,A9,RECETAS!$G$6:$G$605)</f>
        <v>0</v>
      </c>
      <c r="J9" s="24" t="n">
        <f>SUMIF('OTROS COSTOS'!$A$6:$A$245,A9,'OTROS COSTOS'!$G$6:$G$245)</f>
        <v>0</v>
      </c>
      <c r="K9" s="24">
        <f t="shared" si="1"/>
        <v>0</v>
      </c>
      <c r="L9" s="24">
        <f t="shared" si="2"/>
        <v>0</v>
      </c>
      <c r="M9" s="24">
        <f t="shared" si="3"/>
        <v>0</v>
      </c>
      <c r="N9" s="34">
        <f t="shared" si="4"/>
        <v>0</v>
      </c>
      <c r="O9" s="35">
        <f t="shared" si="5"/>
        <v>0</v>
      </c>
    </row>
    <row r="10">
      <c r="A10" s="13" t="s">
        <v>144</v>
      </c>
      <c r="B10" s="388"/>
      <c r="C10" s="411"/>
      <c r="D10" s="411"/>
      <c r="E10" s="411"/>
      <c r="F10" s="386"/>
      <c r="G10" s="412"/>
      <c r="H10" s="413">
        <v>0.4</v>
      </c>
      <c r="I10" s="24" t="n">
        <f>SUMIF(RECETAS!$A$6:$A$605,A10,RECETAS!$G$6:$G$605)</f>
        <v>0</v>
      </c>
      <c r="J10" s="24" t="n">
        <f>SUMIF('OTROS COSTOS'!$A$6:$A$245,A10,'OTROS COSTOS'!$G$6:$G$245)</f>
        <v>0</v>
      </c>
      <c r="K10" s="24">
        <f t="shared" si="1"/>
        <v>0</v>
      </c>
      <c r="L10" s="24">
        <f t="shared" si="2"/>
        <v>0</v>
      </c>
      <c r="M10" s="24">
        <f t="shared" si="3"/>
        <v>0</v>
      </c>
      <c r="N10" s="34">
        <f t="shared" si="4"/>
        <v>0</v>
      </c>
      <c r="O10" s="35">
        <f t="shared" si="5"/>
        <v>0</v>
      </c>
    </row>
    <row r="11">
      <c r="A11" s="13" t="s">
        <v>145</v>
      </c>
      <c r="B11" s="386"/>
      <c r="C11" s="414"/>
      <c r="D11" s="414"/>
      <c r="E11" s="414"/>
      <c r="F11" s="386"/>
      <c r="G11" s="412"/>
      <c r="H11" s="413">
        <v>0.4</v>
      </c>
      <c r="I11" s="24" t="n">
        <f>SUMIF(RECETAS!$A$6:$A$605,A11,RECETAS!$G$6:$G$605)</f>
        <v>0</v>
      </c>
      <c r="J11" s="24" t="n">
        <f>SUMIF('OTROS COSTOS'!$A$6:$A$245,A11,'OTROS COSTOS'!$G$6:$G$245)</f>
        <v>0</v>
      </c>
      <c r="K11" s="24">
        <f t="shared" si="1"/>
        <v>0</v>
      </c>
      <c r="L11" s="24">
        <f t="shared" si="2"/>
        <v>0</v>
      </c>
      <c r="M11" s="24">
        <f t="shared" si="3"/>
        <v>0</v>
      </c>
      <c r="N11" s="34">
        <f t="shared" si="4"/>
        <v>0</v>
      </c>
      <c r="O11" s="35">
        <f t="shared" si="5"/>
        <v>0</v>
      </c>
    </row>
    <row r="12">
      <c r="A12" s="13" t="s">
        <v>146</v>
      </c>
      <c r="B12" s="386"/>
      <c r="C12" s="414"/>
      <c r="D12" s="414"/>
      <c r="E12" s="414"/>
      <c r="F12" s="386"/>
      <c r="G12" s="412"/>
      <c r="H12" s="413">
        <v>0.4</v>
      </c>
      <c r="I12" s="24" t="n">
        <f>SUMIF(RECETAS!$A$6:$A$605,A12,RECETAS!$G$6:$G$605)</f>
        <v>0</v>
      </c>
      <c r="J12" s="24" t="n">
        <f>SUMIF('OTROS COSTOS'!$A$6:$A$245,A12,'OTROS COSTOS'!$G$6:$G$245)</f>
        <v>0</v>
      </c>
      <c r="K12" s="24">
        <f t="shared" si="1"/>
        <v>0</v>
      </c>
      <c r="L12" s="24">
        <f t="shared" si="2"/>
        <v>0</v>
      </c>
      <c r="M12" s="24">
        <f t="shared" si="3"/>
        <v>0</v>
      </c>
      <c r="N12" s="34">
        <f t="shared" si="4"/>
        <v>0</v>
      </c>
      <c r="O12" s="35">
        <f t="shared" si="5"/>
        <v>0</v>
      </c>
    </row>
    <row r="13">
      <c r="A13" s="13" t="s">
        <v>147</v>
      </c>
      <c r="B13" s="386"/>
      <c r="C13" s="414"/>
      <c r="D13" s="414"/>
      <c r="E13" s="414"/>
      <c r="F13" s="386"/>
      <c r="G13" s="412"/>
      <c r="H13" s="413">
        <v>0.4</v>
      </c>
      <c r="I13" s="24" t="n">
        <f>SUMIF(RECETAS!$A$6:$A$605,A13,RECETAS!$G$6:$G$605)</f>
        <v>0</v>
      </c>
      <c r="J13" s="24" t="n">
        <f>SUMIF('OTROS COSTOS'!$A$6:$A$245,A13,'OTROS COSTOS'!$G$6:$G$245)</f>
        <v>0</v>
      </c>
      <c r="K13" s="24">
        <f t="shared" si="1"/>
        <v>0</v>
      </c>
      <c r="L13" s="24">
        <f t="shared" si="2"/>
        <v>0</v>
      </c>
      <c r="M13" s="24">
        <f t="shared" si="3"/>
        <v>0</v>
      </c>
      <c r="N13" s="34">
        <f t="shared" si="4"/>
        <v>0</v>
      </c>
      <c r="O13" s="35">
        <f t="shared" si="5"/>
        <v>0</v>
      </c>
    </row>
    <row r="14">
      <c r="A14" s="13" t="s">
        <v>148</v>
      </c>
      <c r="B14" s="386"/>
      <c r="C14" s="414"/>
      <c r="D14" s="414"/>
      <c r="E14" s="414"/>
      <c r="F14" s="386"/>
      <c r="G14" s="412"/>
      <c r="H14" s="413">
        <v>0.4</v>
      </c>
      <c r="I14" s="24" t="n">
        <f>SUMIF(RECETAS!$A$6:$A$605,A14,RECETAS!$G$6:$G$605)</f>
        <v>0</v>
      </c>
      <c r="J14" s="24" t="n">
        <f>SUMIF('OTROS COSTOS'!$A$6:$A$245,A14,'OTROS COSTOS'!$G$6:$G$245)</f>
        <v>0</v>
      </c>
      <c r="K14" s="24">
        <f t="shared" si="1"/>
        <v>0</v>
      </c>
      <c r="L14" s="24">
        <f t="shared" si="2"/>
        <v>0</v>
      </c>
      <c r="M14" s="24">
        <f t="shared" si="3"/>
        <v>0</v>
      </c>
      <c r="N14" s="34">
        <f t="shared" si="4"/>
        <v>0</v>
      </c>
      <c r="O14" s="35">
        <f t="shared" si="5"/>
        <v>0</v>
      </c>
    </row>
    <row r="15">
      <c r="A15" s="13" t="s">
        <v>149</v>
      </c>
      <c r="B15" s="386"/>
      <c r="C15" s="414"/>
      <c r="D15" s="414"/>
      <c r="E15" s="414"/>
      <c r="F15" s="386"/>
      <c r="G15" s="412"/>
      <c r="H15" s="413">
        <v>0.4</v>
      </c>
      <c r="I15" s="24" t="n">
        <f>SUMIF(RECETAS!$A$6:$A$605,A15,RECETAS!$G$6:$G$605)</f>
        <v>0</v>
      </c>
      <c r="J15" s="24" t="n">
        <f>SUMIF('OTROS COSTOS'!$A$6:$A$245,A15,'OTROS COSTOS'!$G$6:$G$245)</f>
        <v>0</v>
      </c>
      <c r="K15" s="24">
        <f t="shared" si="1"/>
        <v>0</v>
      </c>
      <c r="L15" s="24">
        <f t="shared" si="2"/>
        <v>0</v>
      </c>
      <c r="M15" s="24">
        <f t="shared" si="3"/>
        <v>0</v>
      </c>
      <c r="N15" s="34">
        <f t="shared" si="4"/>
        <v>0</v>
      </c>
      <c r="O15" s="35">
        <f t="shared" si="5"/>
        <v>0</v>
      </c>
    </row>
    <row r="16">
      <c r="A16" s="13" t="s">
        <v>150</v>
      </c>
      <c r="B16" s="386"/>
      <c r="C16" s="414"/>
      <c r="D16" s="414"/>
      <c r="E16" s="414"/>
      <c r="F16" s="386"/>
      <c r="G16" s="412"/>
      <c r="H16" s="413">
        <v>0.4</v>
      </c>
      <c r="I16" s="24" t="n">
        <f>SUMIF(RECETAS!$A$6:$A$605,A16,RECETAS!$G$6:$G$605)</f>
        <v>0</v>
      </c>
      <c r="J16" s="24" t="n">
        <f>SUMIF('OTROS COSTOS'!$A$6:$A$245,A16,'OTROS COSTOS'!$G$6:$G$245)</f>
        <v>0</v>
      </c>
      <c r="K16" s="24">
        <f t="shared" si="1"/>
        <v>0</v>
      </c>
      <c r="L16" s="24">
        <f t="shared" si="2"/>
        <v>0</v>
      </c>
      <c r="M16" s="24">
        <f t="shared" si="3"/>
        <v>0</v>
      </c>
      <c r="N16" s="34">
        <f t="shared" si="4"/>
        <v>0</v>
      </c>
      <c r="O16" s="35">
        <f t="shared" si="5"/>
        <v>0</v>
      </c>
    </row>
    <row r="17">
      <c r="A17" s="13" t="s">
        <v>151</v>
      </c>
      <c r="B17" s="386"/>
      <c r="C17" s="414"/>
      <c r="D17" s="414"/>
      <c r="E17" s="414"/>
      <c r="F17" s="386"/>
      <c r="G17" s="412"/>
      <c r="H17" s="413">
        <v>0.4</v>
      </c>
      <c r="I17" s="24" t="n">
        <f>SUMIF(RECETAS!$A$6:$A$605,A17,RECETAS!$G$6:$G$605)</f>
        <v>0</v>
      </c>
      <c r="J17" s="24" t="n">
        <f>SUMIF('OTROS COSTOS'!$A$6:$A$245,A17,'OTROS COSTOS'!$G$6:$G$245)</f>
        <v>0</v>
      </c>
      <c r="K17" s="24">
        <f t="shared" si="1"/>
        <v>0</v>
      </c>
      <c r="L17" s="24">
        <f t="shared" si="2"/>
        <v>0</v>
      </c>
      <c r="M17" s="24">
        <f t="shared" si="3"/>
        <v>0</v>
      </c>
      <c r="N17" s="34">
        <f t="shared" si="4"/>
        <v>0</v>
      </c>
      <c r="O17" s="35">
        <f t="shared" si="5"/>
        <v>0</v>
      </c>
    </row>
    <row r="18">
      <c r="A18" s="13" t="s">
        <v>152</v>
      </c>
      <c r="B18" s="386"/>
      <c r="C18" s="414"/>
      <c r="D18" s="414"/>
      <c r="E18" s="414"/>
      <c r="F18" s="386"/>
      <c r="G18" s="412"/>
      <c r="H18" s="413">
        <v>0.4</v>
      </c>
      <c r="I18" s="24" t="n">
        <f>SUMIF(RECETAS!$A$6:$A$605,A18,RECETAS!$G$6:$G$605)</f>
        <v>0</v>
      </c>
      <c r="J18" s="24" t="n">
        <f>SUMIF('OTROS COSTOS'!$A$6:$A$245,A18,'OTROS COSTOS'!$G$6:$G$245)</f>
        <v>0</v>
      </c>
      <c r="K18" s="24">
        <f t="shared" si="1"/>
        <v>0</v>
      </c>
      <c r="L18" s="24">
        <f t="shared" si="2"/>
        <v>0</v>
      </c>
      <c r="M18" s="24">
        <f t="shared" si="3"/>
        <v>0</v>
      </c>
      <c r="N18" s="34">
        <f t="shared" si="4"/>
        <v>0</v>
      </c>
      <c r="O18" s="35">
        <f t="shared" si="5"/>
        <v>0</v>
      </c>
    </row>
    <row r="19">
      <c r="A19" s="13" t="s">
        <v>153</v>
      </c>
      <c r="B19" s="386"/>
      <c r="C19" s="414"/>
      <c r="D19" s="414"/>
      <c r="E19" s="414"/>
      <c r="F19" s="386"/>
      <c r="G19" s="412"/>
      <c r="H19" s="413">
        <v>0.4</v>
      </c>
      <c r="I19" s="24" t="n">
        <f>SUMIF(RECETAS!$A$6:$A$605,A19,RECETAS!$G$6:$G$605)</f>
        <v>0</v>
      </c>
      <c r="J19" s="24" t="n">
        <f>SUMIF('OTROS COSTOS'!$A$6:$A$245,A19,'OTROS COSTOS'!$G$6:$G$245)</f>
        <v>0</v>
      </c>
      <c r="K19" s="24">
        <f t="shared" si="1"/>
        <v>0</v>
      </c>
      <c r="L19" s="24">
        <f t="shared" si="2"/>
        <v>0</v>
      </c>
      <c r="M19" s="24">
        <f t="shared" si="3"/>
        <v>0</v>
      </c>
      <c r="N19" s="34">
        <f t="shared" si="4"/>
        <v>0</v>
      </c>
      <c r="O19" s="35">
        <f t="shared" si="5"/>
        <v>0</v>
      </c>
    </row>
    <row r="20">
      <c r="A20" s="13" t="s">
        <v>154</v>
      </c>
      <c r="B20" s="386"/>
      <c r="C20" s="414"/>
      <c r="D20" s="414"/>
      <c r="E20" s="414"/>
      <c r="F20" s="386"/>
      <c r="G20" s="412"/>
      <c r="H20" s="413">
        <v>0.4</v>
      </c>
      <c r="I20" s="24" t="n">
        <f>SUMIF(RECETAS!$A$6:$A$605,A20,RECETAS!$G$6:$G$605)</f>
        <v>0</v>
      </c>
      <c r="J20" s="24" t="n">
        <f>SUMIF('OTROS COSTOS'!$A$6:$A$245,A20,'OTROS COSTOS'!$G$6:$G$245)</f>
        <v>0</v>
      </c>
      <c r="K20" s="24">
        <f t="shared" si="1"/>
        <v>0</v>
      </c>
      <c r="L20" s="24">
        <f t="shared" si="2"/>
        <v>0</v>
      </c>
      <c r="M20" s="24">
        <f t="shared" si="3"/>
        <v>0</v>
      </c>
      <c r="N20" s="34">
        <f t="shared" si="4"/>
        <v>0</v>
      </c>
      <c r="O20" s="35">
        <f t="shared" si="5"/>
        <v>0</v>
      </c>
    </row>
    <row r="21" ht="15.75" customHeight="1">
      <c r="A21" s="13" t="s">
        <v>155</v>
      </c>
      <c r="B21" s="386"/>
      <c r="C21" s="414"/>
      <c r="D21" s="414"/>
      <c r="E21" s="414"/>
      <c r="F21" s="386"/>
      <c r="G21" s="412"/>
      <c r="H21" s="413">
        <v>0.4</v>
      </c>
      <c r="I21" s="24" t="n">
        <f>SUMIF(RECETAS!$A$6:$A$605,A21,RECETAS!$G$6:$G$605)</f>
        <v>0</v>
      </c>
      <c r="J21" s="24" t="n">
        <f>SUMIF('OTROS COSTOS'!$A$6:$A$245,A21,'OTROS COSTOS'!$G$6:$G$245)</f>
        <v>0</v>
      </c>
      <c r="K21" s="24">
        <f t="shared" si="1"/>
        <v>0</v>
      </c>
      <c r="L21" s="24">
        <f t="shared" si="2"/>
        <v>0</v>
      </c>
      <c r="M21" s="24">
        <f t="shared" si="3"/>
        <v>0</v>
      </c>
      <c r="N21" s="34">
        <f t="shared" si="4"/>
        <v>0</v>
      </c>
      <c r="O21" s="35">
        <f t="shared" si="5"/>
        <v>0</v>
      </c>
    </row>
    <row r="22" ht="15.75" customHeight="1">
      <c r="A22" s="13" t="s">
        <v>156</v>
      </c>
      <c r="B22" s="386"/>
      <c r="C22" s="414"/>
      <c r="D22" s="414"/>
      <c r="E22" s="414"/>
      <c r="F22" s="386"/>
      <c r="G22" s="412"/>
      <c r="H22" s="413">
        <v>0.4</v>
      </c>
      <c r="I22" s="24" t="n">
        <f>SUMIF(RECETAS!$A$6:$A$605,A22,RECETAS!$G$6:$G$605)</f>
        <v>0</v>
      </c>
      <c r="J22" s="24" t="n">
        <f>SUMIF('OTROS COSTOS'!$A$6:$A$245,A22,'OTROS COSTOS'!$G$6:$G$245)</f>
        <v>0</v>
      </c>
      <c r="K22" s="24">
        <f t="shared" si="1"/>
        <v>0</v>
      </c>
      <c r="L22" s="24">
        <f t="shared" si="2"/>
        <v>0</v>
      </c>
      <c r="M22" s="24">
        <f t="shared" si="3"/>
        <v>0</v>
      </c>
      <c r="N22" s="34">
        <f t="shared" si="4"/>
        <v>0</v>
      </c>
      <c r="O22" s="35">
        <f t="shared" si="5"/>
        <v>0</v>
      </c>
    </row>
    <row r="23" ht="15.75" customHeight="1">
      <c r="A23" s="13" t="s">
        <v>157</v>
      </c>
      <c r="B23" s="386"/>
      <c r="C23" s="414"/>
      <c r="D23" s="414"/>
      <c r="E23" s="414"/>
      <c r="F23" s="386"/>
      <c r="G23" s="412"/>
      <c r="H23" s="413">
        <v>0.4</v>
      </c>
      <c r="I23" s="24" t="n">
        <f>SUMIF(RECETAS!$A$6:$A$605,A23,RECETAS!$G$6:$G$605)</f>
        <v>0</v>
      </c>
      <c r="J23" s="24" t="n">
        <f>SUMIF('OTROS COSTOS'!$A$6:$A$245,A23,'OTROS COSTOS'!$G$6:$G$245)</f>
        <v>0</v>
      </c>
      <c r="K23" s="24">
        <f t="shared" si="1"/>
        <v>0</v>
      </c>
      <c r="L23" s="24">
        <f t="shared" si="2"/>
        <v>0</v>
      </c>
      <c r="M23" s="24">
        <f t="shared" si="3"/>
        <v>0</v>
      </c>
      <c r="N23" s="34">
        <f t="shared" si="4"/>
        <v>0</v>
      </c>
      <c r="O23" s="35">
        <f t="shared" si="5"/>
        <v>0</v>
      </c>
    </row>
    <row r="24" ht="15.75" customHeight="1">
      <c r="A24" s="13" t="s">
        <v>158</v>
      </c>
      <c r="B24" s="386"/>
      <c r="C24" s="414"/>
      <c r="D24" s="414"/>
      <c r="E24" s="414"/>
      <c r="F24" s="386"/>
      <c r="G24" s="412"/>
      <c r="H24" s="413">
        <v>0.4</v>
      </c>
      <c r="I24" s="24" t="n">
        <f>SUMIF(RECETAS!$A$6:$A$605,A24,RECETAS!$G$6:$G$605)</f>
        <v>0</v>
      </c>
      <c r="J24" s="24" t="n">
        <f>SUMIF('OTROS COSTOS'!$A$6:$A$245,A24,'OTROS COSTOS'!$G$6:$G$245)</f>
        <v>0</v>
      </c>
      <c r="K24" s="24">
        <f t="shared" si="1"/>
        <v>0</v>
      </c>
      <c r="L24" s="24">
        <f t="shared" si="2"/>
        <v>0</v>
      </c>
      <c r="M24" s="24">
        <f t="shared" si="3"/>
        <v>0</v>
      </c>
      <c r="N24" s="34">
        <f t="shared" si="4"/>
        <v>0</v>
      </c>
      <c r="O24" s="35">
        <f t="shared" si="5"/>
        <v>0</v>
      </c>
    </row>
    <row r="25" ht="15.75" customHeight="1">
      <c r="A25" s="13" t="s">
        <v>159</v>
      </c>
      <c r="B25" s="386"/>
      <c r="C25" s="414"/>
      <c r="D25" s="414"/>
      <c r="E25" s="414"/>
      <c r="F25" s="386"/>
      <c r="G25" s="412"/>
      <c r="H25" s="413">
        <v>0.4</v>
      </c>
      <c r="I25" s="24" t="n">
        <f>SUMIF(RECETAS!$A$6:$A$605,A25,RECETAS!$G$6:$G$605)</f>
        <v>0</v>
      </c>
      <c r="J25" s="24" t="n">
        <f>SUMIF('OTROS COSTOS'!$A$6:$A$245,A25,'OTROS COSTOS'!$G$6:$G$245)</f>
        <v>0</v>
      </c>
      <c r="K25" s="24">
        <f t="shared" si="1"/>
        <v>0</v>
      </c>
      <c r="L25" s="24">
        <f t="shared" si="2"/>
        <v>0</v>
      </c>
      <c r="M25" s="24">
        <f t="shared" si="3"/>
        <v>0</v>
      </c>
      <c r="N25" s="34">
        <f t="shared" si="4"/>
        <v>0</v>
      </c>
      <c r="O25" s="35">
        <f t="shared" si="5"/>
        <v>0</v>
      </c>
    </row>
    <row r="26" ht="15.75" customHeight="1">
      <c r="A26" s="13" t="s">
        <v>160</v>
      </c>
      <c r="B26" s="386"/>
      <c r="C26" s="414"/>
      <c r="D26" s="414"/>
      <c r="E26" s="414"/>
      <c r="F26" s="386"/>
      <c r="G26" s="412"/>
      <c r="H26" s="413">
        <v>0.4</v>
      </c>
      <c r="I26" s="24" t="n">
        <f>SUMIF(RECETAS!$A$6:$A$605,A26,RECETAS!$G$6:$G$605)</f>
        <v>0</v>
      </c>
      <c r="J26" s="24" t="n">
        <f>SUMIF('OTROS COSTOS'!$A$6:$A$245,A26,'OTROS COSTOS'!$G$6:$G$245)</f>
        <v>0</v>
      </c>
      <c r="K26" s="24">
        <f t="shared" si="1"/>
        <v>0</v>
      </c>
      <c r="L26" s="24">
        <f t="shared" si="2"/>
        <v>0</v>
      </c>
      <c r="M26" s="24">
        <f t="shared" si="3"/>
        <v>0</v>
      </c>
      <c r="N26" s="34">
        <f t="shared" si="4"/>
        <v>0</v>
      </c>
      <c r="O26" s="35">
        <f t="shared" si="5"/>
        <v>0</v>
      </c>
    </row>
    <row r="27" ht="15.75" customHeight="1">
      <c r="A27" s="13" t="s">
        <v>161</v>
      </c>
      <c r="B27" s="386"/>
      <c r="C27" s="414"/>
      <c r="D27" s="414"/>
      <c r="E27" s="414"/>
      <c r="F27" s="386"/>
      <c r="G27" s="412"/>
      <c r="H27" s="413">
        <v>0.4</v>
      </c>
      <c r="I27" s="24" t="n">
        <f>SUMIF(RECETAS!$A$6:$A$605,A27,RECETAS!$G$6:$G$605)</f>
        <v>0</v>
      </c>
      <c r="J27" s="24" t="n">
        <f>SUMIF('OTROS COSTOS'!$A$6:$A$245,A27,'OTROS COSTOS'!$G$6:$G$245)</f>
        <v>0</v>
      </c>
      <c r="K27" s="24">
        <f t="shared" si="1"/>
        <v>0</v>
      </c>
      <c r="L27" s="24">
        <f t="shared" si="2"/>
        <v>0</v>
      </c>
      <c r="M27" s="24">
        <f t="shared" si="3"/>
        <v>0</v>
      </c>
      <c r="N27" s="34">
        <f t="shared" si="4"/>
        <v>0</v>
      </c>
      <c r="O27" s="35">
        <f t="shared" si="5"/>
        <v>0</v>
      </c>
    </row>
    <row r="28" ht="15.75" customHeight="1">
      <c r="A28" s="13" t="s">
        <v>162</v>
      </c>
      <c r="B28" s="386"/>
      <c r="C28" s="414"/>
      <c r="D28" s="414"/>
      <c r="E28" s="414"/>
      <c r="F28" s="386"/>
      <c r="G28" s="412"/>
      <c r="H28" s="413">
        <v>0.4</v>
      </c>
      <c r="I28" s="24" t="n">
        <f>SUMIF(RECETAS!$A$6:$A$605,A28,RECETAS!$G$6:$G$605)</f>
        <v>0</v>
      </c>
      <c r="J28" s="24" t="n">
        <f>SUMIF('OTROS COSTOS'!$A$6:$A$245,A28,'OTROS COSTOS'!$G$6:$G$245)</f>
        <v>0</v>
      </c>
      <c r="K28" s="24">
        <f t="shared" si="1"/>
        <v>0</v>
      </c>
      <c r="L28" s="24">
        <f t="shared" si="2"/>
        <v>0</v>
      </c>
      <c r="M28" s="24">
        <f t="shared" si="3"/>
        <v>0</v>
      </c>
      <c r="N28" s="34">
        <f t="shared" si="4"/>
        <v>0</v>
      </c>
      <c r="O28" s="35">
        <f t="shared" si="5"/>
        <v>0</v>
      </c>
    </row>
    <row r="29" ht="15.75" customHeight="1">
      <c r="A29" s="13" t="s">
        <v>163</v>
      </c>
      <c r="B29" s="386"/>
      <c r="C29" s="414"/>
      <c r="D29" s="414"/>
      <c r="E29" s="414"/>
      <c r="F29" s="386"/>
      <c r="G29" s="412"/>
      <c r="H29" s="413">
        <v>0.4</v>
      </c>
      <c r="I29" s="24" t="n">
        <f>SUMIF(RECETAS!$A$6:$A$605,A29,RECETAS!$G$6:$G$605)</f>
        <v>0</v>
      </c>
      <c r="J29" s="24" t="n">
        <f>SUMIF('OTROS COSTOS'!$A$6:$A$245,A29,'OTROS COSTOS'!$G$6:$G$245)</f>
        <v>0</v>
      </c>
      <c r="K29" s="24">
        <f t="shared" si="1"/>
        <v>0</v>
      </c>
      <c r="L29" s="24">
        <f t="shared" si="2"/>
        <v>0</v>
      </c>
      <c r="M29" s="24">
        <f t="shared" si="3"/>
        <v>0</v>
      </c>
      <c r="N29" s="34">
        <f t="shared" si="4"/>
        <v>0</v>
      </c>
      <c r="O29" s="35">
        <f t="shared" si="5"/>
        <v>0</v>
      </c>
    </row>
    <row r="30" ht="15.75" customHeight="1">
      <c r="A30" s="13" t="s">
        <v>164</v>
      </c>
      <c r="B30" s="386"/>
      <c r="C30" s="414"/>
      <c r="D30" s="414"/>
      <c r="E30" s="414"/>
      <c r="F30" s="386"/>
      <c r="G30" s="412"/>
      <c r="H30" s="413">
        <v>0.4</v>
      </c>
      <c r="I30" s="24" t="n">
        <f>SUMIF(RECETAS!$A$6:$A$605,A30,RECETAS!$G$6:$G$605)</f>
        <v>0</v>
      </c>
      <c r="J30" s="24" t="n">
        <f>SUMIF('OTROS COSTOS'!$A$6:$A$245,A30,'OTROS COSTOS'!$G$6:$G$245)</f>
        <v>0</v>
      </c>
      <c r="K30" s="24">
        <f t="shared" si="1"/>
        <v>0</v>
      </c>
      <c r="L30" s="24">
        <f t="shared" si="2"/>
        <v>0</v>
      </c>
      <c r="M30" s="24">
        <f t="shared" si="3"/>
        <v>0</v>
      </c>
      <c r="N30" s="34">
        <f t="shared" si="4"/>
        <v>0</v>
      </c>
      <c r="O30" s="35">
        <f t="shared" si="5"/>
        <v>0</v>
      </c>
    </row>
    <row r="31" ht="15.75" customHeight="1">
      <c r="A31" s="13" t="s">
        <v>165</v>
      </c>
      <c r="B31" s="386"/>
      <c r="C31" s="414"/>
      <c r="D31" s="414"/>
      <c r="E31" s="414"/>
      <c r="F31" s="386"/>
      <c r="G31" s="412"/>
      <c r="H31" s="413">
        <v>0.4</v>
      </c>
      <c r="I31" s="24" t="n">
        <f>SUMIF(RECETAS!$A$6:$A$605,A31,RECETAS!$G$6:$G$605)</f>
        <v>0</v>
      </c>
      <c r="J31" s="24" t="n">
        <f>SUMIF('OTROS COSTOS'!$A$6:$A$245,A31,'OTROS COSTOS'!$G$6:$G$245)</f>
        <v>0</v>
      </c>
      <c r="K31" s="24">
        <f t="shared" si="1"/>
        <v>0</v>
      </c>
      <c r="L31" s="24">
        <f t="shared" si="2"/>
        <v>0</v>
      </c>
      <c r="M31" s="24">
        <f t="shared" si="3"/>
        <v>0</v>
      </c>
      <c r="N31" s="34">
        <f t="shared" si="4"/>
        <v>0</v>
      </c>
      <c r="O31" s="35">
        <f t="shared" si="5"/>
        <v>0</v>
      </c>
    </row>
    <row r="32" ht="15.75" customHeight="1">
      <c r="A32" s="13" t="s">
        <v>166</v>
      </c>
      <c r="B32" s="386"/>
      <c r="C32" s="414"/>
      <c r="D32" s="414"/>
      <c r="E32" s="414"/>
      <c r="F32" s="386"/>
      <c r="G32" s="412"/>
      <c r="H32" s="413">
        <v>0.4</v>
      </c>
      <c r="I32" s="24" t="n">
        <f>SUMIF(RECETAS!$A$6:$A$605,A32,RECETAS!$G$6:$G$605)</f>
        <v>0</v>
      </c>
      <c r="J32" s="24" t="n">
        <f>SUMIF('OTROS COSTOS'!$A$6:$A$245,A32,'OTROS COSTOS'!$G$6:$G$245)</f>
        <v>0</v>
      </c>
      <c r="K32" s="24">
        <f t="shared" si="1"/>
        <v>0</v>
      </c>
      <c r="L32" s="24">
        <f t="shared" si="2"/>
        <v>0</v>
      </c>
      <c r="M32" s="24">
        <f t="shared" si="3"/>
        <v>0</v>
      </c>
      <c r="N32" s="34">
        <f t="shared" si="4"/>
        <v>0</v>
      </c>
      <c r="O32" s="35">
        <f t="shared" si="5"/>
        <v>0</v>
      </c>
    </row>
    <row r="33" ht="15.75" customHeight="1">
      <c r="A33" s="13" t="s">
        <v>167</v>
      </c>
      <c r="B33" s="386"/>
      <c r="C33" s="414"/>
      <c r="D33" s="414"/>
      <c r="E33" s="414"/>
      <c r="F33" s="386"/>
      <c r="G33" s="412"/>
      <c r="H33" s="413">
        <v>0.4</v>
      </c>
      <c r="I33" s="24" t="n">
        <f>SUMIF(RECETAS!$A$6:$A$605,A33,RECETAS!$G$6:$G$605)</f>
        <v>0</v>
      </c>
      <c r="J33" s="24" t="n">
        <f>SUMIF('OTROS COSTOS'!$A$6:$A$245,A33,'OTROS COSTOS'!$G$6:$G$245)</f>
        <v>0</v>
      </c>
      <c r="K33" s="24">
        <f t="shared" si="1"/>
        <v>0</v>
      </c>
      <c r="L33" s="24">
        <f t="shared" si="2"/>
        <v>0</v>
      </c>
      <c r="M33" s="24">
        <f t="shared" si="3"/>
        <v>0</v>
      </c>
      <c r="N33" s="34">
        <f t="shared" si="4"/>
        <v>0</v>
      </c>
      <c r="O33" s="35">
        <f t="shared" si="5"/>
        <v>0</v>
      </c>
    </row>
    <row r="34" ht="15.75" customHeight="1">
      <c r="A34" s="13" t="s">
        <v>168</v>
      </c>
      <c r="B34" s="386"/>
      <c r="C34" s="414"/>
      <c r="D34" s="414"/>
      <c r="E34" s="414"/>
      <c r="F34" s="386"/>
      <c r="G34" s="412"/>
      <c r="H34" s="413">
        <v>0.4</v>
      </c>
      <c r="I34" s="24" t="n">
        <f>SUMIF(RECETAS!$A$6:$A$605,A34,RECETAS!$G$6:$G$605)</f>
        <v>0</v>
      </c>
      <c r="J34" s="24" t="n">
        <f>SUMIF('OTROS COSTOS'!$A$6:$A$245,A34,'OTROS COSTOS'!$G$6:$G$245)</f>
        <v>0</v>
      </c>
      <c r="K34" s="24">
        <f t="shared" si="1"/>
        <v>0</v>
      </c>
      <c r="L34" s="24">
        <f t="shared" si="2"/>
        <v>0</v>
      </c>
      <c r="M34" s="24">
        <f t="shared" si="3"/>
        <v>0</v>
      </c>
      <c r="N34" s="34">
        <f t="shared" si="4"/>
        <v>0</v>
      </c>
      <c r="O34" s="35">
        <f t="shared" si="5"/>
        <v>0</v>
      </c>
    </row>
    <row r="35" ht="15.75" customHeight="1">
      <c r="A35" s="13" t="s">
        <v>169</v>
      </c>
      <c r="B35" s="386"/>
      <c r="C35" s="414"/>
      <c r="D35" s="414"/>
      <c r="E35" s="414"/>
      <c r="F35" s="386"/>
      <c r="G35" s="412"/>
      <c r="H35" s="413">
        <v>0.4</v>
      </c>
      <c r="I35" s="24" t="n">
        <f>SUMIF(RECETAS!$A$6:$A$605,A35,RECETAS!$G$6:$G$605)</f>
        <v>0</v>
      </c>
      <c r="J35" s="24" t="n">
        <f>SUMIF('OTROS COSTOS'!$A$6:$A$245,A35,'OTROS COSTOS'!$G$6:$G$245)</f>
        <v>0</v>
      </c>
      <c r="K35" s="24">
        <f t="shared" si="1"/>
        <v>0</v>
      </c>
      <c r="L35" s="24">
        <f t="shared" si="2"/>
        <v>0</v>
      </c>
      <c r="M35" s="24">
        <f t="shared" si="3"/>
        <v>0</v>
      </c>
      <c r="N35" s="34">
        <f t="shared" si="4"/>
        <v>0</v>
      </c>
      <c r="O35" s="35">
        <f t="shared" si="5"/>
        <v>0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</row>
  </sheetData>
  <sheetProtection sheet="1" objects="1" scenarios="1" selectLockedCells="1" selectUnlockedCells="0"/>
  <mergeCells>
    <mergeCell ref="A1:M2"/>
    <mergeCell ref="A3:M3"/>
  </mergeCells>
  <dataValidations count="1">
    <dataValidation type="list" allowBlank="1" sqref="F6:F35">
      <formula1>"Venta directa,Feria,Mayorista,Taller / experiencia,Otro"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ColWidth="12.630000114440918" defaultRowHeight="15"/>
  <cols>
    <col min="1" max="1" width="15" customWidth="1"/>
    <col min="2" max="2" width="28" customWidth="1"/>
    <col min="3" max="3" width="27" customWidth="1"/>
    <col min="4" max="4" width="16" customWidth="1"/>
    <col min="5" max="5" width="12" customWidth="1"/>
    <col min="6" max="6" width="20" customWidth="1"/>
    <col min="7" max="7" width="18" customWidth="1"/>
    <col min="8" max="8" width="14" customWidth="1"/>
    <col min="9" max="9" width="27" customWidth="1"/>
    <col min="10" max="26" width="8.630000114440918" customWidth="1"/>
  </cols>
  <sheetData>
    <row r="1">
      <c r="A1" s="1" t="s">
        <v>170</v>
      </c>
      <c r="J1" s="3"/>
      <c r="K1" s="3"/>
      <c r="L1" s="3"/>
      <c r="M1" s="3"/>
    </row>
    <row r="2">
      <c r="J2" s="3"/>
      <c r="K2" s="3"/>
      <c r="L2" s="3"/>
      <c r="M2" s="3"/>
    </row>
    <row r="3">
      <c r="A3" s="11" t="s">
        <v>171</v>
      </c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19" t="s">
        <v>172</v>
      </c>
      <c r="B5" s="19" t="s">
        <v>121</v>
      </c>
      <c r="C5" s="19" t="s">
        <v>17</v>
      </c>
      <c r="D5" s="19" t="s">
        <v>173</v>
      </c>
      <c r="E5" s="19" t="s">
        <v>174</v>
      </c>
      <c r="F5" s="19" t="s">
        <v>175</v>
      </c>
      <c r="G5" s="19" t="s">
        <v>176</v>
      </c>
      <c r="H5" s="19" t="s">
        <v>177</v>
      </c>
      <c r="I5" s="19" t="s">
        <v>178</v>
      </c>
      <c r="J5" s="3"/>
      <c r="K5" s="3"/>
      <c r="L5" s="3"/>
      <c r="M5" s="3"/>
    </row>
    <row r="6">
      <c r="A6" s="395" t="s">
        <v>135</v>
      </c>
      <c r="B6" s="26" t="str">
        <f>IFERROR(VLOOKUP(A6,PRODUCTOS!$A$6:$B$35,2,FALSE),"")</f>
        <v>Jabón de Café </v>
      </c>
      <c r="C6" s="395" t="s">
        <v>25</v>
      </c>
      <c r="D6" s="395">
        <v>1327.0</v>
      </c>
      <c r="E6" s="395" t="s">
        <v>26</v>
      </c>
      <c r="F6" s="33" t="n">
        <f>IFERROR(VLOOKUP(C6,'MATERIAS PRIMAS'!$B$5:$F$104,5,FALSE),0)</f>
        <v>18</v>
      </c>
      <c r="G6" s="33" t="n">
        <f t="shared" ref="G6:G605" si="1">IFERROR(D6*F6,0)</f>
        <v>23886</v>
      </c>
      <c r="H6" s="36" t="n">
        <f>IFERROR(D6/VLOOKUP(A6,PRODUCTOS!$A$6:$D$35,4,FALSE),0)</f>
        <v>0.9615942028985507</v>
      </c>
      <c r="I6" s="386"/>
      <c r="J6" s="3"/>
      <c r="K6" s="3"/>
      <c r="L6" s="3"/>
      <c r="M6" s="3"/>
    </row>
    <row r="7">
      <c r="A7" s="395" t="s">
        <v>135</v>
      </c>
      <c r="B7" s="26" t="str">
        <f>IFERROR(VLOOKUP(A7,PRODUCTOS!$A$6:$B$35,2,FALSE),"")</f>
        <v>Jabón de Café </v>
      </c>
      <c r="C7" s="395" t="s">
        <v>112</v>
      </c>
      <c r="D7" s="395">
        <v>8.0</v>
      </c>
      <c r="E7" s="395" t="s">
        <v>26</v>
      </c>
      <c r="F7" s="33" t="n">
        <f>IFERROR(VLOOKUP(C7,'MATERIAS PRIMAS'!$B$5:$F$104,5,FALSE),0)</f>
        <v>258.8235294</v>
      </c>
      <c r="G7" s="33">
        <f t="shared" si="1"/>
        <v>2070.588235</v>
      </c>
      <c r="H7" s="36" t="n">
        <f>IFERROR(D7/VLOOKUP(A7,PRODUCTOS!$A$6:$D$35,4,FALSE),0)</f>
        <v>0.005797101449275362</v>
      </c>
      <c r="I7" s="386"/>
      <c r="J7" s="3"/>
      <c r="K7" s="3"/>
      <c r="L7" s="3"/>
      <c r="M7" s="3"/>
    </row>
    <row r="8">
      <c r="A8" s="395" t="s">
        <v>135</v>
      </c>
      <c r="B8" s="26" t="str">
        <f>IFERROR(VLOOKUP(A8,PRODUCTOS!$A$6:$B$35,2,FALSE),"")</f>
        <v>Jabón de Café </v>
      </c>
      <c r="C8" s="395" t="s">
        <v>30</v>
      </c>
      <c r="D8" s="395">
        <v>8.0</v>
      </c>
      <c r="E8" s="395" t="s">
        <v>26</v>
      </c>
      <c r="F8" s="33" t="n">
        <f>IFERROR(VLOOKUP(C8,'MATERIAS PRIMAS'!$B$5:$F$104,5,FALSE),0)</f>
        <v>73.11111111</v>
      </c>
      <c r="G8" s="33">
        <f t="shared" si="1"/>
        <v>584.8888889</v>
      </c>
      <c r="H8" s="36" t="n">
        <f>IFERROR(D8/VLOOKUP(A8,PRODUCTOS!$A$6:$D$35,4,FALSE),0)</f>
        <v>0.005797101449275362</v>
      </c>
      <c r="I8" s="386"/>
      <c r="J8" s="3"/>
      <c r="K8" s="3"/>
      <c r="L8" s="3"/>
      <c r="M8" s="3"/>
    </row>
    <row r="9">
      <c r="A9" s="395" t="s">
        <v>135</v>
      </c>
      <c r="B9" s="26" t="str">
        <f>IFERROR(VLOOKUP(A9,PRODUCTOS!$A$6:$B$35,2,FALSE),"")</f>
        <v>Jabón de Café </v>
      </c>
      <c r="C9" s="395" t="s">
        <v>33</v>
      </c>
      <c r="D9" s="395">
        <v>8.0</v>
      </c>
      <c r="E9" s="395" t="s">
        <v>174</v>
      </c>
      <c r="F9" s="33" t="n">
        <f>IFERROR(VLOOKUP(C9,'MATERIAS PRIMAS'!$B$5:$F$104,5,FALSE),0)</f>
        <v>566.6666667</v>
      </c>
      <c r="G9" s="33">
        <f t="shared" si="1"/>
        <v>4533.333333</v>
      </c>
      <c r="H9" s="36" t="n">
        <f>IFERROR(D9/VLOOKUP(A9,PRODUCTOS!$A$6:$D$35,4,FALSE),0)</f>
        <v>0.005797101449275362</v>
      </c>
      <c r="I9" s="386"/>
      <c r="J9" s="3"/>
      <c r="K9" s="3"/>
      <c r="L9" s="3"/>
      <c r="M9" s="3"/>
    </row>
    <row r="10">
      <c r="A10" s="395" t="s">
        <v>135</v>
      </c>
      <c r="B10" s="26" t="str">
        <f>IFERROR(VLOOKUP(A10,PRODUCTOS!$A$6:$B$35,2,FALSE),"")</f>
        <v>Jabón de Café </v>
      </c>
      <c r="C10" s="395" t="s">
        <v>40</v>
      </c>
      <c r="D10" s="395">
        <v>8.0</v>
      </c>
      <c r="E10" s="395" t="s">
        <v>31</v>
      </c>
      <c r="F10" s="33" t="n">
        <f>IFERROR(VLOOKUP(C10,'MATERIAS PRIMAS'!$B$5:$F$104,5,FALSE),0)</f>
        <v>403.3333333</v>
      </c>
      <c r="G10" s="33">
        <f t="shared" si="1"/>
        <v>3226.666667</v>
      </c>
      <c r="H10" s="36" t="n">
        <f>IFERROR(D10/VLOOKUP(A10,PRODUCTOS!$A$6:$D$35,4,FALSE),0)</f>
        <v>0.005797101449275362</v>
      </c>
      <c r="I10" s="386"/>
      <c r="J10" s="3"/>
      <c r="K10" s="3"/>
      <c r="L10" s="3"/>
      <c r="M10" s="3"/>
    </row>
    <row r="11">
      <c r="A11" s="395" t="s">
        <v>138</v>
      </c>
      <c r="B11" s="26" t="str">
        <f>IFERROR(VLOOKUP(A11,PRODUCTOS!$A$6:$B$35,2,FALSE),"")</f>
        <v>Jabón de Miel y Avena </v>
      </c>
      <c r="C11" s="395" t="s">
        <v>28</v>
      </c>
      <c r="D11" s="395">
        <v>664.0</v>
      </c>
      <c r="E11" s="395" t="s">
        <v>26</v>
      </c>
      <c r="F11" s="33" t="n">
        <f>IFERROR(VLOOKUP(C11,'MATERIAS PRIMAS'!$B$5:$F$104,5,FALSE),0)</f>
        <v>15</v>
      </c>
      <c r="G11" s="33">
        <f t="shared" si="1"/>
        <v>9960</v>
      </c>
      <c r="H11" s="36" t="n">
        <f>IFERROR(D11/VLOOKUP(A11,PRODUCTOS!$A$6:$D$35,4,FALSE),0)</f>
        <v>0.4811594202898551</v>
      </c>
      <c r="I11" s="386"/>
      <c r="J11" s="3"/>
      <c r="K11" s="3"/>
      <c r="L11" s="3"/>
      <c r="M11" s="3"/>
    </row>
    <row r="12">
      <c r="A12" s="395" t="s">
        <v>138</v>
      </c>
      <c r="B12" s="26" t="str">
        <f>IFERROR(VLOOKUP(A12,PRODUCTOS!$A$6:$B$35,2,FALSE),"")</f>
        <v>Jabón de Miel y Avena </v>
      </c>
      <c r="C12" s="395" t="s">
        <v>78</v>
      </c>
      <c r="D12" s="395">
        <v>4.0</v>
      </c>
      <c r="E12" s="395" t="s">
        <v>26</v>
      </c>
      <c r="F12" s="33" t="n">
        <f>IFERROR(VLOOKUP(C12,'MATERIAS PRIMAS'!$B$5:$F$104,5,FALSE),0)</f>
        <v>61.11111111</v>
      </c>
      <c r="G12" s="33">
        <f t="shared" si="1"/>
        <v>244.4444444</v>
      </c>
      <c r="H12" s="36" t="n">
        <f>IFERROR(D12/VLOOKUP(A12,PRODUCTOS!$A$6:$D$35,4,FALSE),0)</f>
        <v>0.002898550724637681</v>
      </c>
      <c r="I12" s="386"/>
      <c r="J12" s="3"/>
      <c r="K12" s="3"/>
      <c r="L12" s="3"/>
      <c r="M12" s="3"/>
    </row>
    <row r="13">
      <c r="A13" s="395" t="s">
        <v>138</v>
      </c>
      <c r="B13" s="26" t="str">
        <f>IFERROR(VLOOKUP(A13,PRODUCTOS!$A$6:$B$35,2,FALSE),"")</f>
        <v>Jabón de Miel y Avena </v>
      </c>
      <c r="C13" s="395" t="s">
        <v>58</v>
      </c>
      <c r="D13" s="395">
        <v>4.0</v>
      </c>
      <c r="E13" s="395" t="s">
        <v>26</v>
      </c>
      <c r="F13" s="33" t="n">
        <f>IFERROR(VLOOKUP(C13,'MATERIAS PRIMAS'!$B$5:$F$104,5,FALSE),0)</f>
        <v>20</v>
      </c>
      <c r="G13" s="33">
        <f t="shared" si="1"/>
        <v>80</v>
      </c>
      <c r="H13" s="36" t="n">
        <f>IFERROR(D13/VLOOKUP(A13,PRODUCTOS!$A$6:$D$35,4,FALSE),0)</f>
        <v>0.002898550724637681</v>
      </c>
      <c r="I13" s="386"/>
      <c r="J13" s="3"/>
      <c r="K13" s="3"/>
      <c r="L13" s="3"/>
      <c r="M13" s="3"/>
    </row>
    <row r="14">
      <c r="A14" s="395" t="s">
        <v>138</v>
      </c>
      <c r="B14" s="26" t="str">
        <f>IFERROR(VLOOKUP(A14,PRODUCTOS!$A$6:$B$35,2,FALSE),"")</f>
        <v>Jabón de Miel y Avena </v>
      </c>
      <c r="C14" s="395" t="s">
        <v>30</v>
      </c>
      <c r="D14" s="395">
        <v>8.0</v>
      </c>
      <c r="E14" s="395" t="s">
        <v>26</v>
      </c>
      <c r="F14" s="33" t="n">
        <f>IFERROR(VLOOKUP(C14,'MATERIAS PRIMAS'!$B$5:$F$104,5,FALSE),0)</f>
        <v>73.11111111</v>
      </c>
      <c r="G14" s="33">
        <f t="shared" si="1"/>
        <v>584.8888889</v>
      </c>
      <c r="H14" s="36" t="n">
        <f>IFERROR(D14/VLOOKUP(A14,PRODUCTOS!$A$6:$D$35,4,FALSE),0)</f>
        <v>0.005797101449275362</v>
      </c>
      <c r="I14" s="386"/>
      <c r="J14" s="3"/>
      <c r="K14" s="3"/>
      <c r="L14" s="3"/>
      <c r="M14" s="3"/>
    </row>
    <row r="15">
      <c r="A15" s="395" t="s">
        <v>138</v>
      </c>
      <c r="B15" s="26" t="str">
        <f>IFERROR(VLOOKUP(A15,PRODUCTOS!$A$6:$B$35,2,FALSE),"")</f>
        <v>Jabón de Miel y Avena </v>
      </c>
      <c r="C15" s="395" t="s">
        <v>33</v>
      </c>
      <c r="D15" s="395">
        <v>8.0</v>
      </c>
      <c r="E15" s="395" t="s">
        <v>174</v>
      </c>
      <c r="F15" s="33" t="n">
        <f>IFERROR(VLOOKUP(C15,'MATERIAS PRIMAS'!$B$5:$F$104,5,FALSE),0)</f>
        <v>566.6666667</v>
      </c>
      <c r="G15" s="33">
        <f t="shared" si="1"/>
        <v>4533.333333</v>
      </c>
      <c r="H15" s="36" t="n">
        <f>IFERROR(D15/VLOOKUP(A15,PRODUCTOS!$A$6:$D$35,4,FALSE),0)</f>
        <v>0.005797101449275362</v>
      </c>
      <c r="I15" s="386"/>
      <c r="J15" s="3"/>
      <c r="K15" s="3"/>
      <c r="L15" s="3"/>
      <c r="M15" s="3"/>
    </row>
    <row r="16">
      <c r="A16" s="395" t="s">
        <v>138</v>
      </c>
      <c r="B16" s="26" t="str">
        <f>IFERROR(VLOOKUP(A16,PRODUCTOS!$A$6:$B$35,2,FALSE),"")</f>
        <v>Jabón de Miel y Avena </v>
      </c>
      <c r="C16" s="395" t="s">
        <v>36</v>
      </c>
      <c r="D16" s="395">
        <v>8.0</v>
      </c>
      <c r="E16" s="395" t="s">
        <v>31</v>
      </c>
      <c r="F16" s="33" t="n">
        <f>IFERROR(VLOOKUP(C16,'MATERIAS PRIMAS'!$B$5:$F$104,5,FALSE),0)</f>
        <v>220</v>
      </c>
      <c r="G16" s="33">
        <f t="shared" si="1"/>
        <v>1760</v>
      </c>
      <c r="H16" s="36" t="n">
        <f>IFERROR(D16/VLOOKUP(A16,PRODUCTOS!$A$6:$D$35,4,FALSE),0)</f>
        <v>0.005797101449275362</v>
      </c>
      <c r="I16" s="386"/>
      <c r="J16" s="3"/>
      <c r="K16" s="3"/>
      <c r="L16" s="3"/>
      <c r="M16" s="3"/>
    </row>
    <row r="17">
      <c r="A17" s="395" t="s">
        <v>138</v>
      </c>
      <c r="B17" s="26" t="str">
        <f>IFERROR(VLOOKUP(A17,PRODUCTOS!$A$6:$B$35,2,FALSE),"")</f>
        <v>Jabón de Miel y Avena </v>
      </c>
      <c r="C17" s="395" t="s">
        <v>80</v>
      </c>
      <c r="D17" s="395">
        <v>2.0</v>
      </c>
      <c r="E17" s="395" t="s">
        <v>26</v>
      </c>
      <c r="F17" s="33" t="n">
        <f>IFERROR(VLOOKUP(C17,'MATERIAS PRIMAS'!$B$5:$F$104,5,FALSE),0)</f>
        <v>35</v>
      </c>
      <c r="G17" s="33">
        <f t="shared" si="1"/>
        <v>70</v>
      </c>
      <c r="H17" s="36" t="n">
        <f>IFERROR(D17/VLOOKUP(A17,PRODUCTOS!$A$6:$D$35,4,FALSE),0)</f>
        <v>0.0014492753623188406</v>
      </c>
      <c r="I17" s="386"/>
      <c r="J17" s="3"/>
      <c r="K17" s="3"/>
      <c r="L17" s="3"/>
      <c r="M17" s="3"/>
    </row>
    <row r="18">
      <c r="A18" s="395" t="s">
        <v>138</v>
      </c>
      <c r="B18" s="26" t="str">
        <f>IFERROR(VLOOKUP(A18,PRODUCTOS!$A$6:$B$35,2,FALSE),"")</f>
        <v>Jabón de Miel y Avena </v>
      </c>
      <c r="C18" s="395" t="s">
        <v>25</v>
      </c>
      <c r="D18" s="395">
        <v>664.0</v>
      </c>
      <c r="E18" s="395" t="s">
        <v>26</v>
      </c>
      <c r="F18" s="33" t="n">
        <f>IFERROR(VLOOKUP(C18,'MATERIAS PRIMAS'!$B$5:$F$104,5,FALSE),0)</f>
        <v>18</v>
      </c>
      <c r="G18" s="33">
        <f t="shared" si="1"/>
        <v>11952</v>
      </c>
      <c r="H18" s="36" t="n">
        <f>IFERROR(D18/VLOOKUP(A18,PRODUCTOS!$A$6:$D$35,4,FALSE),0)</f>
        <v>0.4811594202898551</v>
      </c>
      <c r="I18" s="386"/>
      <c r="J18" s="3"/>
      <c r="K18" s="3"/>
      <c r="L18" s="3"/>
      <c r="M18" s="3"/>
    </row>
    <row r="19">
      <c r="A19" s="395" t="s">
        <v>140</v>
      </c>
      <c r="B19" s="26" t="str">
        <f>IFERROR(VLOOKUP(A19,PRODUCTOS!$A$6:$B$35,2,FALSE),"")</f>
        <v>Jabón de Mentol </v>
      </c>
      <c r="C19" s="395" t="s">
        <v>25</v>
      </c>
      <c r="D19" s="395">
        <v>1440.0</v>
      </c>
      <c r="E19" s="395" t="s">
        <v>26</v>
      </c>
      <c r="F19" s="33" t="n">
        <f>IFERROR(VLOOKUP(C19,'MATERIAS PRIMAS'!$B$5:$F$104,5,FALSE),0)</f>
        <v>18</v>
      </c>
      <c r="G19" s="33">
        <f t="shared" si="1"/>
        <v>25920</v>
      </c>
      <c r="H19" s="36" t="n">
        <f>IFERROR(D19/VLOOKUP(A19,PRODUCTOS!$A$6:$D$35,4,FALSE),0)</f>
        <v>1</v>
      </c>
      <c r="I19" s="386"/>
      <c r="J19" s="3"/>
      <c r="K19" s="3"/>
      <c r="L19" s="3"/>
      <c r="M19" s="3"/>
    </row>
    <row r="20">
      <c r="A20" s="395" t="s">
        <v>140</v>
      </c>
      <c r="B20" s="26" t="str">
        <f>IFERROR(VLOOKUP(A20,PRODUCTOS!$A$6:$B$35,2,FALSE),"")</f>
        <v>Jabón de Mentol </v>
      </c>
      <c r="C20" s="395" t="s">
        <v>108</v>
      </c>
      <c r="D20" s="395">
        <v>81.0</v>
      </c>
      <c r="E20" s="395" t="s">
        <v>26</v>
      </c>
      <c r="F20" s="33" t="n">
        <f>IFERROR(VLOOKUP(C20,'MATERIAS PRIMAS'!$B$5:$F$104,5,FALSE),0)</f>
        <v>259.2592593</v>
      </c>
      <c r="G20" s="33">
        <f t="shared" si="1"/>
        <v>21000</v>
      </c>
      <c r="H20" s="36" t="n">
        <f>IFERROR(D20/VLOOKUP(A20,PRODUCTOS!$A$6:$D$35,4,FALSE),0)</f>
        <v>0.05625</v>
      </c>
      <c r="I20" s="386"/>
      <c r="J20" s="3"/>
      <c r="K20" s="3"/>
      <c r="L20" s="3"/>
      <c r="M20" s="3"/>
    </row>
    <row r="21" ht="15.75" customHeight="1">
      <c r="A21" s="395" t="s">
        <v>140</v>
      </c>
      <c r="B21" s="26" t="str">
        <f>IFERROR(VLOOKUP(A21,PRODUCTOS!$A$6:$B$35,2,FALSE),"")</f>
        <v>Jabón de Mentol </v>
      </c>
      <c r="C21" s="395" t="s">
        <v>110</v>
      </c>
      <c r="D21" s="395">
        <v>1.0</v>
      </c>
      <c r="E21" s="395" t="s">
        <v>26</v>
      </c>
      <c r="F21" s="33" t="n">
        <f>IFERROR(VLOOKUP(C21,'MATERIAS PRIMAS'!$B$5:$F$104,5,FALSE),0)</f>
        <v>266.6666667</v>
      </c>
      <c r="G21" s="33">
        <f t="shared" si="1"/>
        <v>266.6666667</v>
      </c>
      <c r="H21" s="36" t="n">
        <f>IFERROR(D21/VLOOKUP(A21,PRODUCTOS!$A$6:$D$35,4,FALSE),0)</f>
        <v>0.0006944444444444445</v>
      </c>
      <c r="I21" s="386"/>
      <c r="J21" s="3"/>
      <c r="K21" s="3"/>
      <c r="L21" s="3"/>
      <c r="M21" s="3"/>
    </row>
    <row r="22" ht="15.75" customHeight="1">
      <c r="A22" s="395" t="s">
        <v>140</v>
      </c>
      <c r="B22" s="26" t="str">
        <f>IFERROR(VLOOKUP(A22,PRODUCTOS!$A$6:$B$35,2,FALSE),"")</f>
        <v>Jabón de Mentol </v>
      </c>
      <c r="C22" s="395" t="s">
        <v>30</v>
      </c>
      <c r="D22" s="395">
        <v>6.0</v>
      </c>
      <c r="E22" s="395" t="s">
        <v>26</v>
      </c>
      <c r="F22" s="33" t="n">
        <f>IFERROR(VLOOKUP(C22,'MATERIAS PRIMAS'!$B$5:$F$104,5,FALSE),0)</f>
        <v>73.11111111</v>
      </c>
      <c r="G22" s="33">
        <f t="shared" si="1"/>
        <v>438.6666667</v>
      </c>
      <c r="H22" s="36" t="n">
        <f>IFERROR(D22/VLOOKUP(A22,PRODUCTOS!$A$6:$D$35,4,FALSE),0)</f>
        <v>0.004166666666666667</v>
      </c>
      <c r="I22" s="386"/>
      <c r="J22" s="3"/>
      <c r="K22" s="3"/>
      <c r="L22" s="3"/>
      <c r="M22" s="3"/>
    </row>
    <row r="23" ht="15.75" customHeight="1">
      <c r="A23" s="395" t="s">
        <v>142</v>
      </c>
      <c r="B23" s="26" t="str">
        <f>IFERROR(VLOOKUP(A23,PRODUCTOS!$A$6:$B$35,2,FALSE),"")</f>
        <v>Jabón de Almendras</v>
      </c>
      <c r="C23" s="386"/>
      <c r="D23" s="386"/>
      <c r="E23" s="386"/>
      <c r="F23" s="33" t="n">
        <f>IFERROR(VLOOKUP(C23,'MATERIAS PRIMAS'!$B$5:$F$104,5,FALSE),0)</f>
        <v>0</v>
      </c>
      <c r="G23" s="33">
        <f t="shared" si="1"/>
        <v>0</v>
      </c>
      <c r="H23" s="36" t="n">
        <f>IFERROR(D23/VLOOKUP(A23,PRODUCTOS!$A$6:$D$35,4,FALSE),0)</f>
        <v>0</v>
      </c>
      <c r="I23" s="386"/>
      <c r="J23" s="3"/>
      <c r="K23" s="3"/>
      <c r="L23" s="3"/>
      <c r="M23" s="3"/>
    </row>
    <row r="24" ht="15.75" customHeight="1">
      <c r="A24" s="386"/>
      <c r="B24" s="26" t="str">
        <f>IFERROR(VLOOKUP(A24,PRODUCTOS!$A$6:$B$35,2,FALSE),"")</f>
      </c>
      <c r="C24" s="386"/>
      <c r="D24" s="386"/>
      <c r="E24" s="386"/>
      <c r="F24" s="33" t="n">
        <f>IFERROR(VLOOKUP(C24,'MATERIAS PRIMAS'!$B$5:$F$104,5,FALSE),0)</f>
        <v>0</v>
      </c>
      <c r="G24" s="33">
        <f t="shared" si="1"/>
        <v>0</v>
      </c>
      <c r="H24" s="36" t="n">
        <f>IFERROR(D24/VLOOKUP(A24,PRODUCTOS!$A$6:$D$35,4,FALSE),0)</f>
        <v>0</v>
      </c>
      <c r="I24" s="386"/>
      <c r="J24" s="3"/>
      <c r="K24" s="3"/>
      <c r="L24" s="3"/>
      <c r="M24" s="3"/>
    </row>
    <row r="25" ht="15.75" customHeight="1">
      <c r="A25" s="386"/>
      <c r="B25" s="26" t="str">
        <f>IFERROR(VLOOKUP(A25,PRODUCTOS!$A$6:$B$35,2,FALSE),"")</f>
      </c>
      <c r="C25" s="386"/>
      <c r="D25" s="386"/>
      <c r="E25" s="386"/>
      <c r="F25" s="33" t="n">
        <f>IFERROR(VLOOKUP(C25,'MATERIAS PRIMAS'!$B$5:$F$104,5,FALSE),0)</f>
        <v>0</v>
      </c>
      <c r="G25" s="33">
        <f t="shared" si="1"/>
        <v>0</v>
      </c>
      <c r="H25" s="36" t="n">
        <f>IFERROR(D25/VLOOKUP(A25,PRODUCTOS!$A$6:$D$35,4,FALSE),0)</f>
        <v>0</v>
      </c>
      <c r="I25" s="386"/>
      <c r="J25" s="3"/>
      <c r="K25" s="3"/>
      <c r="L25" s="3"/>
      <c r="M25" s="3"/>
    </row>
    <row r="26" ht="15.75" customHeight="1">
      <c r="A26" s="386"/>
      <c r="B26" s="26" t="str">
        <f>IFERROR(VLOOKUP(A26,PRODUCTOS!$A$6:$B$35,2,FALSE),"")</f>
      </c>
      <c r="C26" s="386"/>
      <c r="D26" s="386"/>
      <c r="E26" s="386"/>
      <c r="F26" s="33" t="n">
        <f>IFERROR(VLOOKUP(C26,'MATERIAS PRIMAS'!$B$5:$F$104,5,FALSE),0)</f>
        <v>0</v>
      </c>
      <c r="G26" s="33">
        <f t="shared" si="1"/>
        <v>0</v>
      </c>
      <c r="H26" s="36" t="n">
        <f>IFERROR(D26/VLOOKUP(A26,PRODUCTOS!$A$6:$D$35,4,FALSE),0)</f>
        <v>0</v>
      </c>
      <c r="I26" s="386"/>
      <c r="J26" s="3"/>
      <c r="K26" s="3"/>
      <c r="L26" s="3"/>
      <c r="M26" s="3"/>
    </row>
    <row r="27" ht="15.75" customHeight="1">
      <c r="A27" s="386"/>
      <c r="B27" s="26" t="str">
        <f>IFERROR(VLOOKUP(A27,PRODUCTOS!$A$6:$B$35,2,FALSE),"")</f>
      </c>
      <c r="C27" s="386"/>
      <c r="D27" s="386"/>
      <c r="E27" s="386"/>
      <c r="F27" s="33" t="n">
        <f>IFERROR(VLOOKUP(C27,'MATERIAS PRIMAS'!$B$5:$F$104,5,FALSE),0)</f>
        <v>0</v>
      </c>
      <c r="G27" s="33">
        <f t="shared" si="1"/>
        <v>0</v>
      </c>
      <c r="H27" s="36" t="n">
        <f>IFERROR(D27/VLOOKUP(A27,PRODUCTOS!$A$6:$D$35,4,FALSE),0)</f>
        <v>0</v>
      </c>
      <c r="I27" s="386"/>
      <c r="J27" s="3"/>
      <c r="K27" s="3"/>
      <c r="L27" s="3"/>
      <c r="M27" s="3"/>
    </row>
    <row r="28" ht="15.75" customHeight="1">
      <c r="A28" s="386"/>
      <c r="B28" s="26" t="str">
        <f>IFERROR(VLOOKUP(A28,PRODUCTOS!$A$6:$B$35,2,FALSE),"")</f>
      </c>
      <c r="C28" s="386"/>
      <c r="D28" s="386"/>
      <c r="E28" s="386"/>
      <c r="F28" s="33" t="n">
        <f>IFERROR(VLOOKUP(C28,'MATERIAS PRIMAS'!$B$5:$F$104,5,FALSE),0)</f>
        <v>0</v>
      </c>
      <c r="G28" s="33">
        <f t="shared" si="1"/>
        <v>0</v>
      </c>
      <c r="H28" s="36" t="n">
        <f>IFERROR(D28/VLOOKUP(A28,PRODUCTOS!$A$6:$D$35,4,FALSE),0)</f>
        <v>0</v>
      </c>
      <c r="I28" s="386"/>
      <c r="J28" s="3"/>
      <c r="K28" s="3"/>
      <c r="L28" s="3"/>
      <c r="M28" s="3"/>
    </row>
    <row r="29" ht="15.75" customHeight="1">
      <c r="A29" s="386"/>
      <c r="B29" s="26" t="str">
        <f>IFERROR(VLOOKUP(A29,PRODUCTOS!$A$6:$B$35,2,FALSE),"")</f>
      </c>
      <c r="C29" s="386"/>
      <c r="D29" s="386"/>
      <c r="E29" s="386"/>
      <c r="F29" s="33" t="n">
        <f>IFERROR(VLOOKUP(C29,'MATERIAS PRIMAS'!$B$5:$F$104,5,FALSE),0)</f>
        <v>0</v>
      </c>
      <c r="G29" s="33">
        <f t="shared" si="1"/>
        <v>0</v>
      </c>
      <c r="H29" s="36" t="n">
        <f>IFERROR(D29/VLOOKUP(A29,PRODUCTOS!$A$6:$D$35,4,FALSE),0)</f>
        <v>0</v>
      </c>
      <c r="I29" s="386"/>
      <c r="J29" s="3"/>
      <c r="K29" s="3"/>
      <c r="L29" s="3"/>
      <c r="M29" s="3"/>
    </row>
    <row r="30" ht="15.75" customHeight="1">
      <c r="A30" s="386"/>
      <c r="B30" s="26" t="str">
        <f>IFERROR(VLOOKUP(A30,PRODUCTOS!$A$6:$B$35,2,FALSE),"")</f>
      </c>
      <c r="C30" s="386"/>
      <c r="D30" s="386"/>
      <c r="E30" s="386"/>
      <c r="F30" s="33" t="n">
        <f>IFERROR(VLOOKUP(C30,'MATERIAS PRIMAS'!$B$5:$F$104,5,FALSE),0)</f>
        <v>0</v>
      </c>
      <c r="G30" s="33">
        <f t="shared" si="1"/>
        <v>0</v>
      </c>
      <c r="H30" s="36" t="n">
        <f>IFERROR(D30/VLOOKUP(A30,PRODUCTOS!$A$6:$D$35,4,FALSE),0)</f>
        <v>0</v>
      </c>
      <c r="I30" s="386"/>
      <c r="J30" s="3"/>
      <c r="K30" s="3"/>
      <c r="L30" s="3"/>
      <c r="M30" s="3"/>
    </row>
    <row r="31" ht="15.75" customHeight="1">
      <c r="A31" s="386"/>
      <c r="B31" s="26" t="str">
        <f>IFERROR(VLOOKUP(A31,PRODUCTOS!$A$6:$B$35,2,FALSE),"")</f>
      </c>
      <c r="C31" s="386"/>
      <c r="D31" s="386"/>
      <c r="E31" s="386"/>
      <c r="F31" s="33" t="n">
        <f>IFERROR(VLOOKUP(C31,'MATERIAS PRIMAS'!$B$5:$F$104,5,FALSE),0)</f>
        <v>0</v>
      </c>
      <c r="G31" s="33">
        <f t="shared" si="1"/>
        <v>0</v>
      </c>
      <c r="H31" s="36" t="n">
        <f>IFERROR(D31/VLOOKUP(A31,PRODUCTOS!$A$6:$D$35,4,FALSE),0)</f>
        <v>0</v>
      </c>
      <c r="I31" s="386"/>
      <c r="J31" s="3"/>
      <c r="K31" s="3"/>
      <c r="L31" s="3"/>
      <c r="M31" s="3"/>
    </row>
    <row r="32" ht="15.75" customHeight="1">
      <c r="A32" s="386"/>
      <c r="B32" s="26" t="str">
        <f>IFERROR(VLOOKUP(A32,PRODUCTOS!$A$6:$B$35,2,FALSE),"")</f>
      </c>
      <c r="C32" s="386"/>
      <c r="D32" s="386"/>
      <c r="E32" s="386"/>
      <c r="F32" s="33" t="n">
        <f>IFERROR(VLOOKUP(C32,'MATERIAS PRIMAS'!$B$5:$F$104,5,FALSE),0)</f>
        <v>0</v>
      </c>
      <c r="G32" s="33">
        <f t="shared" si="1"/>
        <v>0</v>
      </c>
      <c r="H32" s="36" t="n">
        <f>IFERROR(D32/VLOOKUP(A32,PRODUCTOS!$A$6:$D$35,4,FALSE),0)</f>
        <v>0</v>
      </c>
      <c r="I32" s="386"/>
      <c r="J32" s="3"/>
      <c r="K32" s="3"/>
      <c r="L32" s="3"/>
      <c r="M32" s="3"/>
    </row>
    <row r="33" ht="15.75" customHeight="1">
      <c r="A33" s="386"/>
      <c r="B33" s="26" t="str">
        <f>IFERROR(VLOOKUP(A33,PRODUCTOS!$A$6:$B$35,2,FALSE),"")</f>
      </c>
      <c r="C33" s="386"/>
      <c r="D33" s="386"/>
      <c r="E33" s="386"/>
      <c r="F33" s="33" t="n">
        <f>IFERROR(VLOOKUP(C33,'MATERIAS PRIMAS'!$B$5:$F$104,5,FALSE),0)</f>
        <v>0</v>
      </c>
      <c r="G33" s="33">
        <f t="shared" si="1"/>
        <v>0</v>
      </c>
      <c r="H33" s="36" t="n">
        <f>IFERROR(D33/VLOOKUP(A33,PRODUCTOS!$A$6:$D$35,4,FALSE),0)</f>
        <v>0</v>
      </c>
      <c r="I33" s="386"/>
      <c r="J33" s="3"/>
      <c r="K33" s="3"/>
      <c r="L33" s="3"/>
      <c r="M33" s="3"/>
    </row>
    <row r="34" ht="15.75" customHeight="1">
      <c r="A34" s="386"/>
      <c r="B34" s="26" t="str">
        <f>IFERROR(VLOOKUP(A34,PRODUCTOS!$A$6:$B$35,2,FALSE),"")</f>
      </c>
      <c r="C34" s="386"/>
      <c r="D34" s="386"/>
      <c r="E34" s="386"/>
      <c r="F34" s="33" t="n">
        <f>IFERROR(VLOOKUP(C34,'MATERIAS PRIMAS'!$B$5:$F$104,5,FALSE),0)</f>
        <v>0</v>
      </c>
      <c r="G34" s="33">
        <f t="shared" si="1"/>
        <v>0</v>
      </c>
      <c r="H34" s="36" t="n">
        <f>IFERROR(D34/VLOOKUP(A34,PRODUCTOS!$A$6:$D$35,4,FALSE),0)</f>
        <v>0</v>
      </c>
      <c r="I34" s="386"/>
      <c r="J34" s="3"/>
      <c r="K34" s="3"/>
      <c r="L34" s="3"/>
      <c r="M34" s="3"/>
    </row>
    <row r="35" ht="15.75" customHeight="1">
      <c r="A35" s="386"/>
      <c r="B35" s="26" t="str">
        <f>IFERROR(VLOOKUP(A35,PRODUCTOS!$A$6:$B$35,2,FALSE),"")</f>
      </c>
      <c r="C35" s="386"/>
      <c r="D35" s="386"/>
      <c r="E35" s="386"/>
      <c r="F35" s="33" t="n">
        <f>IFERROR(VLOOKUP(C35,'MATERIAS PRIMAS'!$B$5:$F$104,5,FALSE),0)</f>
        <v>0</v>
      </c>
      <c r="G35" s="33">
        <f t="shared" si="1"/>
        <v>0</v>
      </c>
      <c r="H35" s="36" t="n">
        <f>IFERROR(D35/VLOOKUP(A35,PRODUCTOS!$A$6:$D$35,4,FALSE),0)</f>
        <v>0</v>
      </c>
      <c r="I35" s="386"/>
      <c r="J35" s="3"/>
      <c r="K35" s="3"/>
      <c r="L35" s="3"/>
      <c r="M35" s="3"/>
    </row>
    <row r="36" ht="15.75" customHeight="1">
      <c r="A36" s="386"/>
      <c r="B36" s="26" t="str">
        <f>IFERROR(VLOOKUP(A36,PRODUCTOS!$A$6:$B$35,2,FALSE),"")</f>
      </c>
      <c r="C36" s="386"/>
      <c r="D36" s="386"/>
      <c r="E36" s="386"/>
      <c r="F36" s="33" t="n">
        <f>IFERROR(VLOOKUP(C36,'MATERIAS PRIMAS'!$B$5:$F$104,5,FALSE),0)</f>
        <v>0</v>
      </c>
      <c r="G36" s="33">
        <f t="shared" si="1"/>
        <v>0</v>
      </c>
      <c r="H36" s="36" t="n">
        <f>IFERROR(D36/VLOOKUP(A36,PRODUCTOS!$A$6:$D$35,4,FALSE),0)</f>
        <v>0</v>
      </c>
      <c r="I36" s="386"/>
      <c r="J36" s="3"/>
      <c r="K36" s="3"/>
      <c r="L36" s="3"/>
      <c r="M36" s="3"/>
    </row>
    <row r="37" ht="15.75" customHeight="1">
      <c r="A37" s="386"/>
      <c r="B37" s="26" t="str">
        <f>IFERROR(VLOOKUP(A37,PRODUCTOS!$A$6:$B$35,2,FALSE),"")</f>
      </c>
      <c r="C37" s="386"/>
      <c r="D37" s="386"/>
      <c r="E37" s="386"/>
      <c r="F37" s="33" t="n">
        <f>IFERROR(VLOOKUP(C37,'MATERIAS PRIMAS'!$B$5:$F$104,5,FALSE),0)</f>
        <v>0</v>
      </c>
      <c r="G37" s="33">
        <f t="shared" si="1"/>
        <v>0</v>
      </c>
      <c r="H37" s="36" t="n">
        <f>IFERROR(D37/VLOOKUP(A37,PRODUCTOS!$A$6:$D$35,4,FALSE),0)</f>
        <v>0</v>
      </c>
      <c r="I37" s="386"/>
      <c r="J37" s="3"/>
      <c r="K37" s="3"/>
      <c r="L37" s="3"/>
      <c r="M37" s="3"/>
    </row>
    <row r="38" ht="15.75" customHeight="1">
      <c r="A38" s="386"/>
      <c r="B38" s="26" t="str">
        <f>IFERROR(VLOOKUP(A38,PRODUCTOS!$A$6:$B$35,2,FALSE),"")</f>
      </c>
      <c r="C38" s="386"/>
      <c r="D38" s="386"/>
      <c r="E38" s="386"/>
      <c r="F38" s="33" t="n">
        <f>IFERROR(VLOOKUP(C38,'MATERIAS PRIMAS'!$B$5:$F$104,5,FALSE),0)</f>
        <v>0</v>
      </c>
      <c r="G38" s="33">
        <f t="shared" si="1"/>
        <v>0</v>
      </c>
      <c r="H38" s="36" t="n">
        <f>IFERROR(D38/VLOOKUP(A38,PRODUCTOS!$A$6:$D$35,4,FALSE),0)</f>
        <v>0</v>
      </c>
      <c r="I38" s="386"/>
      <c r="J38" s="3"/>
      <c r="K38" s="3"/>
      <c r="L38" s="3"/>
      <c r="M38" s="3"/>
    </row>
    <row r="39" ht="15.75" customHeight="1">
      <c r="A39" s="386"/>
      <c r="B39" s="26" t="str">
        <f>IFERROR(VLOOKUP(A39,PRODUCTOS!$A$6:$B$35,2,FALSE),"")</f>
      </c>
      <c r="C39" s="386"/>
      <c r="D39" s="386"/>
      <c r="E39" s="386"/>
      <c r="F39" s="33" t="n">
        <f>IFERROR(VLOOKUP(C39,'MATERIAS PRIMAS'!$B$5:$F$104,5,FALSE),0)</f>
        <v>0</v>
      </c>
      <c r="G39" s="33">
        <f t="shared" si="1"/>
        <v>0</v>
      </c>
      <c r="H39" s="36" t="n">
        <f>IFERROR(D39/VLOOKUP(A39,PRODUCTOS!$A$6:$D$35,4,FALSE),0)</f>
        <v>0</v>
      </c>
      <c r="I39" s="386"/>
      <c r="J39" s="3"/>
      <c r="K39" s="3"/>
      <c r="L39" s="3"/>
      <c r="M39" s="3"/>
    </row>
    <row r="40" ht="15.75" customHeight="1">
      <c r="A40" s="386"/>
      <c r="B40" s="26" t="str">
        <f>IFERROR(VLOOKUP(A40,PRODUCTOS!$A$6:$B$35,2,FALSE),"")</f>
      </c>
      <c r="C40" s="386"/>
      <c r="D40" s="386"/>
      <c r="E40" s="386"/>
      <c r="F40" s="33" t="n">
        <f>IFERROR(VLOOKUP(C40,'MATERIAS PRIMAS'!$B$5:$F$104,5,FALSE),0)</f>
        <v>0</v>
      </c>
      <c r="G40" s="33">
        <f t="shared" si="1"/>
        <v>0</v>
      </c>
      <c r="H40" s="36" t="n">
        <f>IFERROR(D40/VLOOKUP(A40,PRODUCTOS!$A$6:$D$35,4,FALSE),0)</f>
        <v>0</v>
      </c>
      <c r="I40" s="386"/>
      <c r="J40" s="3"/>
      <c r="K40" s="3"/>
      <c r="L40" s="3"/>
      <c r="M40" s="3"/>
    </row>
    <row r="41" ht="15.75" customHeight="1">
      <c r="A41" s="386"/>
      <c r="B41" s="26" t="str">
        <f>IFERROR(VLOOKUP(A41,PRODUCTOS!$A$6:$B$35,2,FALSE),"")</f>
      </c>
      <c r="C41" s="386"/>
      <c r="D41" s="386"/>
      <c r="E41" s="386"/>
      <c r="F41" s="33" t="n">
        <f>IFERROR(VLOOKUP(C41,'MATERIAS PRIMAS'!$B$5:$F$104,5,FALSE),0)</f>
        <v>0</v>
      </c>
      <c r="G41" s="33">
        <f t="shared" si="1"/>
        <v>0</v>
      </c>
      <c r="H41" s="36" t="n">
        <f>IFERROR(D41/VLOOKUP(A41,PRODUCTOS!$A$6:$D$35,4,FALSE),0)</f>
        <v>0</v>
      </c>
      <c r="I41" s="386"/>
      <c r="J41" s="3"/>
      <c r="K41" s="3"/>
      <c r="L41" s="3"/>
      <c r="M41" s="3"/>
    </row>
    <row r="42" ht="15.75" customHeight="1">
      <c r="A42" s="386"/>
      <c r="B42" s="26" t="str">
        <f>IFERROR(VLOOKUP(A42,PRODUCTOS!$A$6:$B$35,2,FALSE),"")</f>
      </c>
      <c r="C42" s="386"/>
      <c r="D42" s="386"/>
      <c r="E42" s="386"/>
      <c r="F42" s="33" t="n">
        <f>IFERROR(VLOOKUP(C42,'MATERIAS PRIMAS'!$B$5:$F$104,5,FALSE),0)</f>
        <v>0</v>
      </c>
      <c r="G42" s="33">
        <f t="shared" si="1"/>
        <v>0</v>
      </c>
      <c r="H42" s="36" t="n">
        <f>IFERROR(D42/VLOOKUP(A42,PRODUCTOS!$A$6:$D$35,4,FALSE),0)</f>
        <v>0</v>
      </c>
      <c r="I42" s="386"/>
      <c r="J42" s="3"/>
      <c r="K42" s="3"/>
      <c r="L42" s="3"/>
      <c r="M42" s="3"/>
    </row>
    <row r="43" ht="15.75" customHeight="1">
      <c r="A43" s="386"/>
      <c r="B43" s="26" t="str">
        <f>IFERROR(VLOOKUP(A43,PRODUCTOS!$A$6:$B$35,2,FALSE),"")</f>
      </c>
      <c r="C43" s="386"/>
      <c r="D43" s="386"/>
      <c r="E43" s="386"/>
      <c r="F43" s="33" t="n">
        <f>IFERROR(VLOOKUP(C43,'MATERIAS PRIMAS'!$B$5:$F$104,5,FALSE),0)</f>
        <v>0</v>
      </c>
      <c r="G43" s="33">
        <f t="shared" si="1"/>
        <v>0</v>
      </c>
      <c r="H43" s="36" t="n">
        <f>IFERROR(D43/VLOOKUP(A43,PRODUCTOS!$A$6:$D$35,4,FALSE),0)</f>
        <v>0</v>
      </c>
      <c r="I43" s="386"/>
      <c r="J43" s="3"/>
      <c r="K43" s="3"/>
      <c r="L43" s="3"/>
      <c r="M43" s="3"/>
    </row>
    <row r="44" ht="15.75" customHeight="1">
      <c r="A44" s="386"/>
      <c r="B44" s="26" t="str">
        <f>IFERROR(VLOOKUP(A44,PRODUCTOS!$A$6:$B$35,2,FALSE),"")</f>
      </c>
      <c r="C44" s="386"/>
      <c r="D44" s="386"/>
      <c r="E44" s="386"/>
      <c r="F44" s="33" t="n">
        <f>IFERROR(VLOOKUP(C44,'MATERIAS PRIMAS'!$B$5:$F$104,5,FALSE),0)</f>
        <v>0</v>
      </c>
      <c r="G44" s="33">
        <f t="shared" si="1"/>
        <v>0</v>
      </c>
      <c r="H44" s="36" t="n">
        <f>IFERROR(D44/VLOOKUP(A44,PRODUCTOS!$A$6:$D$35,4,FALSE),0)</f>
        <v>0</v>
      </c>
      <c r="I44" s="386"/>
      <c r="J44" s="3"/>
      <c r="K44" s="3"/>
      <c r="L44" s="3"/>
      <c r="M44" s="3"/>
    </row>
    <row r="45" ht="15.75" customHeight="1">
      <c r="A45" s="386"/>
      <c r="B45" s="26" t="str">
        <f>IFERROR(VLOOKUP(A45,PRODUCTOS!$A$6:$B$35,2,FALSE),"")</f>
      </c>
      <c r="C45" s="386"/>
      <c r="D45" s="386"/>
      <c r="E45" s="386"/>
      <c r="F45" s="33" t="n">
        <f>IFERROR(VLOOKUP(C45,'MATERIAS PRIMAS'!$B$5:$F$104,5,FALSE),0)</f>
        <v>0</v>
      </c>
      <c r="G45" s="33">
        <f t="shared" si="1"/>
        <v>0</v>
      </c>
      <c r="H45" s="36" t="n">
        <f>IFERROR(D45/VLOOKUP(A45,PRODUCTOS!$A$6:$D$35,4,FALSE),0)</f>
        <v>0</v>
      </c>
      <c r="I45" s="386"/>
      <c r="J45" s="3"/>
      <c r="K45" s="3"/>
      <c r="L45" s="3"/>
      <c r="M45" s="3"/>
    </row>
    <row r="46" ht="15.75" customHeight="1">
      <c r="A46" s="386"/>
      <c r="B46" s="26" t="str">
        <f>IFERROR(VLOOKUP(A46,PRODUCTOS!$A$6:$B$35,2,FALSE),"")</f>
      </c>
      <c r="C46" s="386"/>
      <c r="D46" s="386"/>
      <c r="E46" s="386"/>
      <c r="F46" s="33" t="n">
        <f>IFERROR(VLOOKUP(C46,'MATERIAS PRIMAS'!$B$5:$F$104,5,FALSE),0)</f>
        <v>0</v>
      </c>
      <c r="G46" s="33">
        <f t="shared" si="1"/>
        <v>0</v>
      </c>
      <c r="H46" s="36" t="n">
        <f>IFERROR(D46/VLOOKUP(A46,PRODUCTOS!$A$6:$D$35,4,FALSE),0)</f>
        <v>0</v>
      </c>
      <c r="I46" s="386"/>
      <c r="J46" s="3"/>
      <c r="K46" s="3"/>
      <c r="L46" s="3"/>
      <c r="M46" s="3"/>
    </row>
    <row r="47" ht="15.75" customHeight="1">
      <c r="A47" s="386"/>
      <c r="B47" s="26" t="str">
        <f>IFERROR(VLOOKUP(A47,PRODUCTOS!$A$6:$B$35,2,FALSE),"")</f>
      </c>
      <c r="C47" s="386"/>
      <c r="D47" s="386"/>
      <c r="E47" s="386"/>
      <c r="F47" s="33" t="n">
        <f>IFERROR(VLOOKUP(C47,'MATERIAS PRIMAS'!$B$5:$F$104,5,FALSE),0)</f>
        <v>0</v>
      </c>
      <c r="G47" s="33">
        <f t="shared" si="1"/>
        <v>0</v>
      </c>
      <c r="H47" s="36" t="n">
        <f>IFERROR(D47/VLOOKUP(A47,PRODUCTOS!$A$6:$D$35,4,FALSE),0)</f>
        <v>0</v>
      </c>
      <c r="I47" s="386"/>
      <c r="J47" s="3"/>
      <c r="K47" s="3"/>
      <c r="L47" s="3"/>
      <c r="M47" s="3"/>
    </row>
    <row r="48" ht="15.75" customHeight="1">
      <c r="A48" s="386"/>
      <c r="B48" s="26" t="str">
        <f>IFERROR(VLOOKUP(A48,PRODUCTOS!$A$6:$B$35,2,FALSE),"")</f>
      </c>
      <c r="C48" s="386"/>
      <c r="D48" s="386"/>
      <c r="E48" s="386"/>
      <c r="F48" s="33" t="n">
        <f>IFERROR(VLOOKUP(C48,'MATERIAS PRIMAS'!$B$5:$F$104,5,FALSE),0)</f>
        <v>0</v>
      </c>
      <c r="G48" s="33">
        <f t="shared" si="1"/>
        <v>0</v>
      </c>
      <c r="H48" s="36" t="n">
        <f>IFERROR(D48/VLOOKUP(A48,PRODUCTOS!$A$6:$D$35,4,FALSE),0)</f>
        <v>0</v>
      </c>
      <c r="I48" s="386"/>
      <c r="J48" s="3"/>
      <c r="K48" s="3"/>
      <c r="L48" s="3"/>
      <c r="M48" s="3"/>
    </row>
    <row r="49" ht="15.75" customHeight="1">
      <c r="A49" s="386"/>
      <c r="B49" s="26" t="str">
        <f>IFERROR(VLOOKUP(A49,PRODUCTOS!$A$6:$B$35,2,FALSE),"")</f>
      </c>
      <c r="C49" s="386"/>
      <c r="D49" s="386"/>
      <c r="E49" s="386"/>
      <c r="F49" s="33" t="n">
        <f>IFERROR(VLOOKUP(C49,'MATERIAS PRIMAS'!$B$5:$F$104,5,FALSE),0)</f>
        <v>0</v>
      </c>
      <c r="G49" s="33">
        <f t="shared" si="1"/>
        <v>0</v>
      </c>
      <c r="H49" s="36" t="n">
        <f>IFERROR(D49/VLOOKUP(A49,PRODUCTOS!$A$6:$D$35,4,FALSE),0)</f>
        <v>0</v>
      </c>
      <c r="I49" s="386"/>
      <c r="J49" s="3"/>
      <c r="K49" s="3"/>
      <c r="L49" s="3"/>
      <c r="M49" s="3"/>
    </row>
    <row r="50" ht="15.75" customHeight="1">
      <c r="A50" s="386"/>
      <c r="B50" s="26" t="str">
        <f>IFERROR(VLOOKUP(A50,PRODUCTOS!$A$6:$B$35,2,FALSE),"")</f>
      </c>
      <c r="C50" s="386"/>
      <c r="D50" s="386"/>
      <c r="E50" s="386"/>
      <c r="F50" s="33" t="n">
        <f>IFERROR(VLOOKUP(C50,'MATERIAS PRIMAS'!$B$5:$F$104,5,FALSE),0)</f>
        <v>0</v>
      </c>
      <c r="G50" s="33">
        <f t="shared" si="1"/>
        <v>0</v>
      </c>
      <c r="H50" s="36" t="n">
        <f>IFERROR(D50/VLOOKUP(A50,PRODUCTOS!$A$6:$D$35,4,FALSE),0)</f>
        <v>0</v>
      </c>
      <c r="I50" s="386"/>
      <c r="J50" s="3"/>
      <c r="K50" s="3"/>
      <c r="L50" s="3"/>
      <c r="M50" s="3"/>
    </row>
    <row r="51" ht="15.75" customHeight="1">
      <c r="A51" s="386"/>
      <c r="B51" s="26" t="str">
        <f>IFERROR(VLOOKUP(A51,PRODUCTOS!$A$6:$B$35,2,FALSE),"")</f>
      </c>
      <c r="C51" s="386"/>
      <c r="D51" s="386"/>
      <c r="E51" s="386"/>
      <c r="F51" s="33" t="n">
        <f>IFERROR(VLOOKUP(C51,'MATERIAS PRIMAS'!$B$5:$F$104,5,FALSE),0)</f>
        <v>0</v>
      </c>
      <c r="G51" s="33">
        <f t="shared" si="1"/>
        <v>0</v>
      </c>
      <c r="H51" s="36" t="n">
        <f>IFERROR(D51/VLOOKUP(A51,PRODUCTOS!$A$6:$D$35,4,FALSE),0)</f>
        <v>0</v>
      </c>
      <c r="I51" s="386"/>
      <c r="J51" s="3"/>
      <c r="K51" s="3"/>
      <c r="L51" s="3"/>
      <c r="M51" s="3"/>
    </row>
    <row r="52" ht="15.75" customHeight="1">
      <c r="A52" s="386"/>
      <c r="B52" s="26" t="str">
        <f>IFERROR(VLOOKUP(A52,PRODUCTOS!$A$6:$B$35,2,FALSE),"")</f>
      </c>
      <c r="C52" s="386"/>
      <c r="D52" s="386"/>
      <c r="E52" s="386"/>
      <c r="F52" s="33" t="n">
        <f>IFERROR(VLOOKUP(C52,'MATERIAS PRIMAS'!$B$5:$F$104,5,FALSE),0)</f>
        <v>0</v>
      </c>
      <c r="G52" s="33">
        <f t="shared" si="1"/>
        <v>0</v>
      </c>
      <c r="H52" s="36" t="n">
        <f>IFERROR(D52/VLOOKUP(A52,PRODUCTOS!$A$6:$D$35,4,FALSE),0)</f>
        <v>0</v>
      </c>
      <c r="I52" s="386"/>
      <c r="J52" s="3"/>
      <c r="K52" s="3"/>
      <c r="L52" s="3"/>
      <c r="M52" s="3"/>
    </row>
    <row r="53" ht="15.75" customHeight="1">
      <c r="A53" s="386"/>
      <c r="B53" s="26" t="str">
        <f>IFERROR(VLOOKUP(A53,PRODUCTOS!$A$6:$B$35,2,FALSE),"")</f>
      </c>
      <c r="C53" s="386"/>
      <c r="D53" s="386"/>
      <c r="E53" s="386"/>
      <c r="F53" s="33" t="n">
        <f>IFERROR(VLOOKUP(C53,'MATERIAS PRIMAS'!$B$5:$F$104,5,FALSE),0)</f>
        <v>0</v>
      </c>
      <c r="G53" s="33">
        <f t="shared" si="1"/>
        <v>0</v>
      </c>
      <c r="H53" s="36" t="n">
        <f>IFERROR(D53/VLOOKUP(A53,PRODUCTOS!$A$6:$D$35,4,FALSE),0)</f>
        <v>0</v>
      </c>
      <c r="I53" s="386"/>
      <c r="J53" s="3"/>
      <c r="K53" s="3"/>
      <c r="L53" s="3"/>
      <c r="M53" s="3"/>
    </row>
    <row r="54" ht="15.75" customHeight="1">
      <c r="A54" s="386"/>
      <c r="B54" s="26" t="str">
        <f>IFERROR(VLOOKUP(A54,PRODUCTOS!$A$6:$B$35,2,FALSE),"")</f>
      </c>
      <c r="C54" s="386"/>
      <c r="D54" s="386"/>
      <c r="E54" s="386"/>
      <c r="F54" s="33" t="n">
        <f>IFERROR(VLOOKUP(C54,'MATERIAS PRIMAS'!$B$5:$F$104,5,FALSE),0)</f>
        <v>0</v>
      </c>
      <c r="G54" s="33">
        <f t="shared" si="1"/>
        <v>0</v>
      </c>
      <c r="H54" s="36" t="n">
        <f>IFERROR(D54/VLOOKUP(A54,PRODUCTOS!$A$6:$D$35,4,FALSE),0)</f>
        <v>0</v>
      </c>
      <c r="I54" s="386"/>
      <c r="J54" s="3"/>
      <c r="K54" s="3"/>
      <c r="L54" s="3"/>
      <c r="M54" s="3"/>
    </row>
    <row r="55" ht="15.75" customHeight="1">
      <c r="A55" s="386"/>
      <c r="B55" s="26" t="str">
        <f>IFERROR(VLOOKUP(A55,PRODUCTOS!$A$6:$B$35,2,FALSE),"")</f>
      </c>
      <c r="C55" s="386"/>
      <c r="D55" s="386"/>
      <c r="E55" s="386"/>
      <c r="F55" s="33" t="n">
        <f>IFERROR(VLOOKUP(C55,'MATERIAS PRIMAS'!$B$5:$F$104,5,FALSE),0)</f>
        <v>0</v>
      </c>
      <c r="G55" s="33">
        <f t="shared" si="1"/>
        <v>0</v>
      </c>
      <c r="H55" s="36" t="n">
        <f>IFERROR(D55/VLOOKUP(A55,PRODUCTOS!$A$6:$D$35,4,FALSE),0)</f>
        <v>0</v>
      </c>
      <c r="I55" s="386"/>
      <c r="J55" s="3"/>
      <c r="K55" s="3"/>
      <c r="L55" s="3"/>
      <c r="M55" s="3"/>
    </row>
    <row r="56" ht="15.75" customHeight="1">
      <c r="A56" s="386"/>
      <c r="B56" s="26" t="str">
        <f>IFERROR(VLOOKUP(A56,PRODUCTOS!$A$6:$B$35,2,FALSE),"")</f>
      </c>
      <c r="C56" s="386"/>
      <c r="D56" s="386"/>
      <c r="E56" s="386"/>
      <c r="F56" s="33" t="n">
        <f>IFERROR(VLOOKUP(C56,'MATERIAS PRIMAS'!$B$5:$F$104,5,FALSE),0)</f>
        <v>0</v>
      </c>
      <c r="G56" s="33">
        <f t="shared" si="1"/>
        <v>0</v>
      </c>
      <c r="H56" s="36" t="n">
        <f>IFERROR(D56/VLOOKUP(A56,PRODUCTOS!$A$6:$D$35,4,FALSE),0)</f>
        <v>0</v>
      </c>
      <c r="I56" s="386"/>
      <c r="J56" s="3"/>
      <c r="K56" s="3"/>
      <c r="L56" s="3"/>
      <c r="M56" s="3"/>
    </row>
    <row r="57" ht="15.75" customHeight="1">
      <c r="A57" s="386"/>
      <c r="B57" s="26" t="str">
        <f>IFERROR(VLOOKUP(A57,PRODUCTOS!$A$6:$B$35,2,FALSE),"")</f>
      </c>
      <c r="C57" s="386"/>
      <c r="D57" s="386"/>
      <c r="E57" s="386"/>
      <c r="F57" s="33" t="n">
        <f>IFERROR(VLOOKUP(C57,'MATERIAS PRIMAS'!$B$5:$F$104,5,FALSE),0)</f>
        <v>0</v>
      </c>
      <c r="G57" s="33">
        <f t="shared" si="1"/>
        <v>0</v>
      </c>
      <c r="H57" s="36" t="n">
        <f>IFERROR(D57/VLOOKUP(A57,PRODUCTOS!$A$6:$D$35,4,FALSE),0)</f>
        <v>0</v>
      </c>
      <c r="I57" s="386"/>
      <c r="J57" s="3"/>
      <c r="K57" s="3"/>
      <c r="L57" s="3"/>
      <c r="M57" s="3"/>
    </row>
    <row r="58" ht="15.75" customHeight="1">
      <c r="A58" s="386"/>
      <c r="B58" s="26" t="str">
        <f>IFERROR(VLOOKUP(A58,PRODUCTOS!$A$6:$B$35,2,FALSE),"")</f>
      </c>
      <c r="C58" s="386"/>
      <c r="D58" s="386"/>
      <c r="E58" s="386"/>
      <c r="F58" s="33" t="n">
        <f>IFERROR(VLOOKUP(C58,'MATERIAS PRIMAS'!$B$5:$F$104,5,FALSE),0)</f>
        <v>0</v>
      </c>
      <c r="G58" s="33">
        <f t="shared" si="1"/>
        <v>0</v>
      </c>
      <c r="H58" s="36" t="n">
        <f>IFERROR(D58/VLOOKUP(A58,PRODUCTOS!$A$6:$D$35,4,FALSE),0)</f>
        <v>0</v>
      </c>
      <c r="I58" s="386"/>
      <c r="J58" s="3"/>
      <c r="K58" s="3"/>
      <c r="L58" s="3"/>
      <c r="M58" s="3"/>
    </row>
    <row r="59" ht="15.75" customHeight="1">
      <c r="A59" s="386"/>
      <c r="B59" s="26" t="str">
        <f>IFERROR(VLOOKUP(A59,PRODUCTOS!$A$6:$B$35,2,FALSE),"")</f>
      </c>
      <c r="C59" s="386"/>
      <c r="D59" s="386"/>
      <c r="E59" s="386"/>
      <c r="F59" s="33" t="n">
        <f>IFERROR(VLOOKUP(C59,'MATERIAS PRIMAS'!$B$5:$F$104,5,FALSE),0)</f>
        <v>0</v>
      </c>
      <c r="G59" s="33">
        <f t="shared" si="1"/>
        <v>0</v>
      </c>
      <c r="H59" s="36" t="n">
        <f>IFERROR(D59/VLOOKUP(A59,PRODUCTOS!$A$6:$D$35,4,FALSE),0)</f>
        <v>0</v>
      </c>
      <c r="I59" s="386"/>
      <c r="J59" s="3"/>
      <c r="K59" s="3"/>
      <c r="L59" s="3"/>
      <c r="M59" s="3"/>
    </row>
    <row r="60" ht="15.75" customHeight="1">
      <c r="A60" s="386"/>
      <c r="B60" s="26" t="str">
        <f>IFERROR(VLOOKUP(A60,PRODUCTOS!$A$6:$B$35,2,FALSE),"")</f>
      </c>
      <c r="C60" s="386"/>
      <c r="D60" s="386"/>
      <c r="E60" s="386"/>
      <c r="F60" s="33" t="n">
        <f>IFERROR(VLOOKUP(C60,'MATERIAS PRIMAS'!$B$5:$F$104,5,FALSE),0)</f>
        <v>0</v>
      </c>
      <c r="G60" s="33">
        <f t="shared" si="1"/>
        <v>0</v>
      </c>
      <c r="H60" s="36" t="n">
        <f>IFERROR(D60/VLOOKUP(A60,PRODUCTOS!$A$6:$D$35,4,FALSE),0)</f>
        <v>0</v>
      </c>
      <c r="I60" s="386"/>
      <c r="J60" s="3"/>
      <c r="K60" s="3"/>
      <c r="L60" s="3"/>
      <c r="M60" s="3"/>
    </row>
    <row r="61" ht="15.75" customHeight="1">
      <c r="A61" s="386"/>
      <c r="B61" s="26" t="str">
        <f>IFERROR(VLOOKUP(A61,PRODUCTOS!$A$6:$B$35,2,FALSE),"")</f>
      </c>
      <c r="C61" s="386"/>
      <c r="D61" s="386"/>
      <c r="E61" s="386"/>
      <c r="F61" s="33" t="n">
        <f>IFERROR(VLOOKUP(C61,'MATERIAS PRIMAS'!$B$5:$F$104,5,FALSE),0)</f>
        <v>0</v>
      </c>
      <c r="G61" s="33">
        <f t="shared" si="1"/>
        <v>0</v>
      </c>
      <c r="H61" s="36" t="n">
        <f>IFERROR(D61/VLOOKUP(A61,PRODUCTOS!$A$6:$D$35,4,FALSE),0)</f>
        <v>0</v>
      </c>
      <c r="I61" s="386"/>
      <c r="J61" s="3"/>
      <c r="K61" s="3"/>
      <c r="L61" s="3"/>
      <c r="M61" s="3"/>
    </row>
    <row r="62" ht="15.75" customHeight="1">
      <c r="A62" s="386"/>
      <c r="B62" s="26" t="str">
        <f>IFERROR(VLOOKUP(A62,PRODUCTOS!$A$6:$B$35,2,FALSE),"")</f>
      </c>
      <c r="C62" s="386"/>
      <c r="D62" s="386"/>
      <c r="E62" s="386"/>
      <c r="F62" s="33" t="n">
        <f>IFERROR(VLOOKUP(C62,'MATERIAS PRIMAS'!$B$5:$F$104,5,FALSE),0)</f>
        <v>0</v>
      </c>
      <c r="G62" s="33">
        <f t="shared" si="1"/>
        <v>0</v>
      </c>
      <c r="H62" s="36" t="n">
        <f>IFERROR(D62/VLOOKUP(A62,PRODUCTOS!$A$6:$D$35,4,FALSE),0)</f>
        <v>0</v>
      </c>
      <c r="I62" s="386"/>
      <c r="J62" s="3"/>
      <c r="K62" s="3"/>
      <c r="L62" s="3"/>
      <c r="M62" s="3"/>
    </row>
    <row r="63" ht="15.75" customHeight="1">
      <c r="A63" s="386"/>
      <c r="B63" s="26" t="str">
        <f>IFERROR(VLOOKUP(A63,PRODUCTOS!$A$6:$B$35,2,FALSE),"")</f>
      </c>
      <c r="C63" s="386"/>
      <c r="D63" s="386"/>
      <c r="E63" s="386"/>
      <c r="F63" s="33" t="n">
        <f>IFERROR(VLOOKUP(C63,'MATERIAS PRIMAS'!$B$5:$F$104,5,FALSE),0)</f>
        <v>0</v>
      </c>
      <c r="G63" s="33">
        <f t="shared" si="1"/>
        <v>0</v>
      </c>
      <c r="H63" s="36" t="n">
        <f>IFERROR(D63/VLOOKUP(A63,PRODUCTOS!$A$6:$D$35,4,FALSE),0)</f>
        <v>0</v>
      </c>
      <c r="I63" s="386"/>
      <c r="J63" s="3"/>
      <c r="K63" s="3"/>
      <c r="L63" s="3"/>
      <c r="M63" s="3"/>
    </row>
    <row r="64" ht="15.75" customHeight="1">
      <c r="A64" s="386"/>
      <c r="B64" s="26" t="str">
        <f>IFERROR(VLOOKUP(A64,PRODUCTOS!$A$6:$B$35,2,FALSE),"")</f>
      </c>
      <c r="C64" s="386"/>
      <c r="D64" s="386"/>
      <c r="E64" s="386"/>
      <c r="F64" s="33" t="n">
        <f>IFERROR(VLOOKUP(C64,'MATERIAS PRIMAS'!$B$5:$F$104,5,FALSE),0)</f>
        <v>0</v>
      </c>
      <c r="G64" s="33">
        <f t="shared" si="1"/>
        <v>0</v>
      </c>
      <c r="H64" s="36" t="n">
        <f>IFERROR(D64/VLOOKUP(A64,PRODUCTOS!$A$6:$D$35,4,FALSE),0)</f>
        <v>0</v>
      </c>
      <c r="I64" s="386"/>
      <c r="J64" s="3"/>
      <c r="K64" s="3"/>
      <c r="L64" s="3"/>
      <c r="M64" s="3"/>
    </row>
    <row r="65" ht="15.75" customHeight="1">
      <c r="A65" s="386"/>
      <c r="B65" s="26" t="str">
        <f>IFERROR(VLOOKUP(A65,PRODUCTOS!$A$6:$B$35,2,FALSE),"")</f>
      </c>
      <c r="C65" s="386"/>
      <c r="D65" s="386"/>
      <c r="E65" s="386"/>
      <c r="F65" s="33" t="n">
        <f>IFERROR(VLOOKUP(C65,'MATERIAS PRIMAS'!$B$5:$F$104,5,FALSE),0)</f>
        <v>0</v>
      </c>
      <c r="G65" s="33">
        <f t="shared" si="1"/>
        <v>0</v>
      </c>
      <c r="H65" s="36" t="n">
        <f>IFERROR(D65/VLOOKUP(A65,PRODUCTOS!$A$6:$D$35,4,FALSE),0)</f>
        <v>0</v>
      </c>
      <c r="I65" s="386"/>
      <c r="J65" s="3"/>
      <c r="K65" s="3"/>
      <c r="L65" s="3"/>
      <c r="M65" s="3"/>
    </row>
    <row r="66" ht="15.75" customHeight="1">
      <c r="A66" s="386"/>
      <c r="B66" s="26" t="str">
        <f>IFERROR(VLOOKUP(A66,PRODUCTOS!$A$6:$B$35,2,FALSE),"")</f>
      </c>
      <c r="C66" s="386"/>
      <c r="D66" s="386"/>
      <c r="E66" s="386"/>
      <c r="F66" s="33" t="n">
        <f>IFERROR(VLOOKUP(C66,'MATERIAS PRIMAS'!$B$5:$F$104,5,FALSE),0)</f>
        <v>0</v>
      </c>
      <c r="G66" s="33">
        <f t="shared" si="1"/>
        <v>0</v>
      </c>
      <c r="H66" s="36" t="n">
        <f>IFERROR(D66/VLOOKUP(A66,PRODUCTOS!$A$6:$D$35,4,FALSE),0)</f>
        <v>0</v>
      </c>
      <c r="I66" s="386"/>
      <c r="J66" s="3"/>
      <c r="K66" s="3"/>
      <c r="L66" s="3"/>
      <c r="M66" s="3"/>
    </row>
    <row r="67" ht="15.75" customHeight="1">
      <c r="A67" s="386"/>
      <c r="B67" s="26" t="str">
        <f>IFERROR(VLOOKUP(A67,PRODUCTOS!$A$6:$B$35,2,FALSE),"")</f>
      </c>
      <c r="C67" s="386"/>
      <c r="D67" s="386"/>
      <c r="E67" s="386"/>
      <c r="F67" s="33" t="n">
        <f>IFERROR(VLOOKUP(C67,'MATERIAS PRIMAS'!$B$5:$F$104,5,FALSE),0)</f>
        <v>0</v>
      </c>
      <c r="G67" s="33">
        <f t="shared" si="1"/>
        <v>0</v>
      </c>
      <c r="H67" s="36" t="n">
        <f>IFERROR(D67/VLOOKUP(A67,PRODUCTOS!$A$6:$D$35,4,FALSE),0)</f>
        <v>0</v>
      </c>
      <c r="I67" s="386"/>
      <c r="J67" s="3"/>
      <c r="K67" s="3"/>
      <c r="L67" s="3"/>
      <c r="M67" s="3"/>
    </row>
    <row r="68" ht="15.75" customHeight="1">
      <c r="A68" s="386"/>
      <c r="B68" s="26" t="str">
        <f>IFERROR(VLOOKUP(A68,PRODUCTOS!$A$6:$B$35,2,FALSE),"")</f>
      </c>
      <c r="C68" s="386"/>
      <c r="D68" s="386"/>
      <c r="E68" s="386"/>
      <c r="F68" s="33" t="n">
        <f>IFERROR(VLOOKUP(C68,'MATERIAS PRIMAS'!$B$5:$F$104,5,FALSE),0)</f>
        <v>0</v>
      </c>
      <c r="G68" s="33">
        <f t="shared" si="1"/>
        <v>0</v>
      </c>
      <c r="H68" s="36" t="n">
        <f>IFERROR(D68/VLOOKUP(A68,PRODUCTOS!$A$6:$D$35,4,FALSE),0)</f>
        <v>0</v>
      </c>
      <c r="I68" s="386"/>
      <c r="J68" s="3"/>
      <c r="K68" s="3"/>
      <c r="L68" s="3"/>
      <c r="M68" s="3"/>
    </row>
    <row r="69" ht="15.75" customHeight="1">
      <c r="A69" s="386"/>
      <c r="B69" s="26" t="str">
        <f>IFERROR(VLOOKUP(A69,PRODUCTOS!$A$6:$B$35,2,FALSE),"")</f>
      </c>
      <c r="C69" s="386"/>
      <c r="D69" s="386"/>
      <c r="E69" s="386"/>
      <c r="F69" s="33" t="n">
        <f>IFERROR(VLOOKUP(C69,'MATERIAS PRIMAS'!$B$5:$F$104,5,FALSE),0)</f>
        <v>0</v>
      </c>
      <c r="G69" s="33">
        <f t="shared" si="1"/>
        <v>0</v>
      </c>
      <c r="H69" s="36" t="n">
        <f>IFERROR(D69/VLOOKUP(A69,PRODUCTOS!$A$6:$D$35,4,FALSE),0)</f>
        <v>0</v>
      </c>
      <c r="I69" s="386"/>
      <c r="J69" s="3"/>
      <c r="K69" s="3"/>
      <c r="L69" s="3"/>
      <c r="M69" s="3"/>
    </row>
    <row r="70" ht="15.75" customHeight="1">
      <c r="A70" s="386"/>
      <c r="B70" s="26" t="str">
        <f>IFERROR(VLOOKUP(A70,PRODUCTOS!$A$6:$B$35,2,FALSE),"")</f>
      </c>
      <c r="C70" s="386"/>
      <c r="D70" s="386"/>
      <c r="E70" s="386"/>
      <c r="F70" s="33" t="n">
        <f>IFERROR(VLOOKUP(C70,'MATERIAS PRIMAS'!$B$5:$F$104,5,FALSE),0)</f>
        <v>0</v>
      </c>
      <c r="G70" s="33">
        <f t="shared" si="1"/>
        <v>0</v>
      </c>
      <c r="H70" s="36" t="n">
        <f>IFERROR(D70/VLOOKUP(A70,PRODUCTOS!$A$6:$D$35,4,FALSE),0)</f>
        <v>0</v>
      </c>
      <c r="I70" s="386"/>
      <c r="J70" s="3"/>
      <c r="K70" s="3"/>
      <c r="L70" s="3"/>
      <c r="M70" s="3"/>
    </row>
    <row r="71" ht="15.75" customHeight="1">
      <c r="A71" s="386"/>
      <c r="B71" s="26" t="str">
        <f>IFERROR(VLOOKUP(A71,PRODUCTOS!$A$6:$B$35,2,FALSE),"")</f>
      </c>
      <c r="C71" s="386"/>
      <c r="D71" s="386"/>
      <c r="E71" s="386"/>
      <c r="F71" s="33" t="n">
        <f>IFERROR(VLOOKUP(C71,'MATERIAS PRIMAS'!$B$5:$F$104,5,FALSE),0)</f>
        <v>0</v>
      </c>
      <c r="G71" s="33">
        <f t="shared" si="1"/>
        <v>0</v>
      </c>
      <c r="H71" s="36" t="n">
        <f>IFERROR(D71/VLOOKUP(A71,PRODUCTOS!$A$6:$D$35,4,FALSE),0)</f>
        <v>0</v>
      </c>
      <c r="I71" s="386"/>
      <c r="J71" s="3"/>
      <c r="K71" s="3"/>
      <c r="L71" s="3"/>
      <c r="M71" s="3"/>
    </row>
    <row r="72" ht="15.75" customHeight="1">
      <c r="A72" s="386"/>
      <c r="B72" s="26" t="str">
        <f>IFERROR(VLOOKUP(A72,PRODUCTOS!$A$6:$B$35,2,FALSE),"")</f>
      </c>
      <c r="C72" s="386"/>
      <c r="D72" s="386"/>
      <c r="E72" s="386"/>
      <c r="F72" s="33" t="n">
        <f>IFERROR(VLOOKUP(C72,'MATERIAS PRIMAS'!$B$5:$F$104,5,FALSE),0)</f>
        <v>0</v>
      </c>
      <c r="G72" s="33">
        <f t="shared" si="1"/>
        <v>0</v>
      </c>
      <c r="H72" s="36" t="n">
        <f>IFERROR(D72/VLOOKUP(A72,PRODUCTOS!$A$6:$D$35,4,FALSE),0)</f>
        <v>0</v>
      </c>
      <c r="I72" s="386"/>
      <c r="J72" s="3"/>
      <c r="K72" s="3"/>
      <c r="L72" s="3"/>
      <c r="M72" s="3"/>
    </row>
    <row r="73" ht="15.75" customHeight="1">
      <c r="A73" s="386"/>
      <c r="B73" s="26" t="str">
        <f>IFERROR(VLOOKUP(A73,PRODUCTOS!$A$6:$B$35,2,FALSE),"")</f>
      </c>
      <c r="C73" s="386"/>
      <c r="D73" s="386"/>
      <c r="E73" s="386"/>
      <c r="F73" s="33" t="n">
        <f>IFERROR(VLOOKUP(C73,'MATERIAS PRIMAS'!$B$5:$F$104,5,FALSE),0)</f>
        <v>0</v>
      </c>
      <c r="G73" s="33">
        <f t="shared" si="1"/>
        <v>0</v>
      </c>
      <c r="H73" s="36" t="n">
        <f>IFERROR(D73/VLOOKUP(A73,PRODUCTOS!$A$6:$D$35,4,FALSE),0)</f>
        <v>0</v>
      </c>
      <c r="I73" s="386"/>
      <c r="J73" s="3"/>
      <c r="K73" s="3"/>
      <c r="L73" s="3"/>
      <c r="M73" s="3"/>
    </row>
    <row r="74" ht="15.75" customHeight="1">
      <c r="A74" s="386"/>
      <c r="B74" s="26" t="str">
        <f>IFERROR(VLOOKUP(A74,PRODUCTOS!$A$6:$B$35,2,FALSE),"")</f>
      </c>
      <c r="C74" s="386"/>
      <c r="D74" s="386"/>
      <c r="E74" s="386"/>
      <c r="F74" s="33" t="n">
        <f>IFERROR(VLOOKUP(C74,'MATERIAS PRIMAS'!$B$5:$F$104,5,FALSE),0)</f>
        <v>0</v>
      </c>
      <c r="G74" s="33">
        <f t="shared" si="1"/>
        <v>0</v>
      </c>
      <c r="H74" s="36" t="n">
        <f>IFERROR(D74/VLOOKUP(A74,PRODUCTOS!$A$6:$D$35,4,FALSE),0)</f>
        <v>0</v>
      </c>
      <c r="I74" s="386"/>
      <c r="J74" s="3"/>
      <c r="K74" s="3"/>
      <c r="L74" s="3"/>
      <c r="M74" s="3"/>
    </row>
    <row r="75" ht="15.75" customHeight="1">
      <c r="A75" s="386"/>
      <c r="B75" s="26" t="str">
        <f>IFERROR(VLOOKUP(A75,PRODUCTOS!$A$6:$B$35,2,FALSE),"")</f>
      </c>
      <c r="C75" s="386"/>
      <c r="D75" s="386"/>
      <c r="E75" s="386"/>
      <c r="F75" s="33" t="n">
        <f>IFERROR(VLOOKUP(C75,'MATERIAS PRIMAS'!$B$5:$F$104,5,FALSE),0)</f>
        <v>0</v>
      </c>
      <c r="G75" s="33">
        <f t="shared" si="1"/>
        <v>0</v>
      </c>
      <c r="H75" s="36" t="n">
        <f>IFERROR(D75/VLOOKUP(A75,PRODUCTOS!$A$6:$D$35,4,FALSE),0)</f>
        <v>0</v>
      </c>
      <c r="I75" s="386"/>
      <c r="J75" s="3"/>
      <c r="K75" s="3"/>
      <c r="L75" s="3"/>
      <c r="M75" s="3"/>
    </row>
    <row r="76" ht="15.75" customHeight="1">
      <c r="A76" s="386"/>
      <c r="B76" s="26" t="str">
        <f>IFERROR(VLOOKUP(A76,PRODUCTOS!$A$6:$B$35,2,FALSE),"")</f>
      </c>
      <c r="C76" s="386"/>
      <c r="D76" s="386"/>
      <c r="E76" s="386"/>
      <c r="F76" s="33" t="n">
        <f>IFERROR(VLOOKUP(C76,'MATERIAS PRIMAS'!$B$5:$F$104,5,FALSE),0)</f>
        <v>0</v>
      </c>
      <c r="G76" s="33">
        <f t="shared" si="1"/>
        <v>0</v>
      </c>
      <c r="H76" s="36" t="n">
        <f>IFERROR(D76/VLOOKUP(A76,PRODUCTOS!$A$6:$D$35,4,FALSE),0)</f>
        <v>0</v>
      </c>
      <c r="I76" s="386"/>
      <c r="J76" s="3"/>
      <c r="K76" s="3"/>
      <c r="L76" s="3"/>
      <c r="M76" s="3"/>
    </row>
    <row r="77" ht="15.75" customHeight="1">
      <c r="A77" s="386"/>
      <c r="B77" s="26" t="str">
        <f>IFERROR(VLOOKUP(A77,PRODUCTOS!$A$6:$B$35,2,FALSE),"")</f>
      </c>
      <c r="C77" s="386"/>
      <c r="D77" s="386"/>
      <c r="E77" s="386"/>
      <c r="F77" s="33" t="n">
        <f>IFERROR(VLOOKUP(C77,'MATERIAS PRIMAS'!$B$5:$F$104,5,FALSE),0)</f>
        <v>0</v>
      </c>
      <c r="G77" s="33">
        <f t="shared" si="1"/>
        <v>0</v>
      </c>
      <c r="H77" s="36" t="n">
        <f>IFERROR(D77/VLOOKUP(A77,PRODUCTOS!$A$6:$D$35,4,FALSE),0)</f>
        <v>0</v>
      </c>
      <c r="I77" s="386"/>
      <c r="J77" s="3"/>
      <c r="K77" s="3"/>
      <c r="L77" s="3"/>
      <c r="M77" s="3"/>
    </row>
    <row r="78" ht="15.75" customHeight="1">
      <c r="A78" s="386"/>
      <c r="B78" s="26" t="str">
        <f>IFERROR(VLOOKUP(A78,PRODUCTOS!$A$6:$B$35,2,FALSE),"")</f>
      </c>
      <c r="C78" s="386"/>
      <c r="D78" s="386"/>
      <c r="E78" s="386"/>
      <c r="F78" s="33" t="n">
        <f>IFERROR(VLOOKUP(C78,'MATERIAS PRIMAS'!$B$5:$F$104,5,FALSE),0)</f>
        <v>0</v>
      </c>
      <c r="G78" s="33">
        <f t="shared" si="1"/>
        <v>0</v>
      </c>
      <c r="H78" s="36" t="n">
        <f>IFERROR(D78/VLOOKUP(A78,PRODUCTOS!$A$6:$D$35,4,FALSE),0)</f>
        <v>0</v>
      </c>
      <c r="I78" s="386"/>
      <c r="J78" s="3"/>
      <c r="K78" s="3"/>
      <c r="L78" s="3"/>
      <c r="M78" s="3"/>
    </row>
    <row r="79" ht="15.75" customHeight="1">
      <c r="A79" s="386"/>
      <c r="B79" s="26" t="str">
        <f>IFERROR(VLOOKUP(A79,PRODUCTOS!$A$6:$B$35,2,FALSE),"")</f>
      </c>
      <c r="C79" s="386"/>
      <c r="D79" s="386"/>
      <c r="E79" s="386"/>
      <c r="F79" s="33" t="n">
        <f>IFERROR(VLOOKUP(C79,'MATERIAS PRIMAS'!$B$5:$F$104,5,FALSE),0)</f>
        <v>0</v>
      </c>
      <c r="G79" s="33">
        <f t="shared" si="1"/>
        <v>0</v>
      </c>
      <c r="H79" s="36" t="n">
        <f>IFERROR(D79/VLOOKUP(A79,PRODUCTOS!$A$6:$D$35,4,FALSE),0)</f>
        <v>0</v>
      </c>
      <c r="I79" s="386"/>
      <c r="J79" s="3"/>
      <c r="K79" s="3"/>
      <c r="L79" s="3"/>
      <c r="M79" s="3"/>
    </row>
    <row r="80" ht="15.75" customHeight="1">
      <c r="A80" s="386"/>
      <c r="B80" s="26" t="str">
        <f>IFERROR(VLOOKUP(A80,PRODUCTOS!$A$6:$B$35,2,FALSE),"")</f>
      </c>
      <c r="C80" s="386"/>
      <c r="D80" s="386"/>
      <c r="E80" s="386"/>
      <c r="F80" s="33" t="n">
        <f>IFERROR(VLOOKUP(C80,'MATERIAS PRIMAS'!$B$5:$F$104,5,FALSE),0)</f>
        <v>0</v>
      </c>
      <c r="G80" s="33">
        <f t="shared" si="1"/>
        <v>0</v>
      </c>
      <c r="H80" s="36" t="n">
        <f>IFERROR(D80/VLOOKUP(A80,PRODUCTOS!$A$6:$D$35,4,FALSE),0)</f>
        <v>0</v>
      </c>
      <c r="I80" s="386"/>
      <c r="J80" s="3"/>
      <c r="K80" s="3"/>
      <c r="L80" s="3"/>
      <c r="M80" s="3"/>
    </row>
    <row r="81" ht="15.75" customHeight="1">
      <c r="A81" s="386"/>
      <c r="B81" s="26" t="str">
        <f>IFERROR(VLOOKUP(A81,PRODUCTOS!$A$6:$B$35,2,FALSE),"")</f>
      </c>
      <c r="C81" s="386"/>
      <c r="D81" s="386"/>
      <c r="E81" s="386"/>
      <c r="F81" s="33" t="n">
        <f>IFERROR(VLOOKUP(C81,'MATERIAS PRIMAS'!$B$5:$F$104,5,FALSE),0)</f>
        <v>0</v>
      </c>
      <c r="G81" s="33">
        <f t="shared" si="1"/>
        <v>0</v>
      </c>
      <c r="H81" s="36" t="n">
        <f>IFERROR(D81/VLOOKUP(A81,PRODUCTOS!$A$6:$D$35,4,FALSE),0)</f>
        <v>0</v>
      </c>
      <c r="I81" s="386"/>
      <c r="J81" s="3"/>
      <c r="K81" s="3"/>
      <c r="L81" s="3"/>
      <c r="M81" s="3"/>
    </row>
    <row r="82" ht="15.75" customHeight="1">
      <c r="A82" s="386"/>
      <c r="B82" s="26" t="str">
        <f>IFERROR(VLOOKUP(A82,PRODUCTOS!$A$6:$B$35,2,FALSE),"")</f>
      </c>
      <c r="C82" s="386"/>
      <c r="D82" s="386"/>
      <c r="E82" s="386"/>
      <c r="F82" s="33" t="n">
        <f>IFERROR(VLOOKUP(C82,'MATERIAS PRIMAS'!$B$5:$F$104,5,FALSE),0)</f>
        <v>0</v>
      </c>
      <c r="G82" s="33">
        <f t="shared" si="1"/>
        <v>0</v>
      </c>
      <c r="H82" s="36" t="n">
        <f>IFERROR(D82/VLOOKUP(A82,PRODUCTOS!$A$6:$D$35,4,FALSE),0)</f>
        <v>0</v>
      </c>
      <c r="I82" s="386"/>
      <c r="J82" s="3"/>
      <c r="K82" s="3"/>
      <c r="L82" s="3"/>
      <c r="M82" s="3"/>
    </row>
    <row r="83" ht="15.75" customHeight="1">
      <c r="A83" s="386"/>
      <c r="B83" s="26" t="str">
        <f>IFERROR(VLOOKUP(A83,PRODUCTOS!$A$6:$B$35,2,FALSE),"")</f>
      </c>
      <c r="C83" s="386"/>
      <c r="D83" s="386"/>
      <c r="E83" s="386"/>
      <c r="F83" s="33" t="n">
        <f>IFERROR(VLOOKUP(C83,'MATERIAS PRIMAS'!$B$5:$F$104,5,FALSE),0)</f>
        <v>0</v>
      </c>
      <c r="G83" s="33">
        <f t="shared" si="1"/>
        <v>0</v>
      </c>
      <c r="H83" s="36" t="n">
        <f>IFERROR(D83/VLOOKUP(A83,PRODUCTOS!$A$6:$D$35,4,FALSE),0)</f>
        <v>0</v>
      </c>
      <c r="I83" s="386"/>
      <c r="J83" s="3"/>
      <c r="K83" s="3"/>
      <c r="L83" s="3"/>
      <c r="M83" s="3"/>
    </row>
    <row r="84" ht="15.75" customHeight="1">
      <c r="A84" s="386"/>
      <c r="B84" s="26" t="str">
        <f>IFERROR(VLOOKUP(A84,PRODUCTOS!$A$6:$B$35,2,FALSE),"")</f>
      </c>
      <c r="C84" s="386"/>
      <c r="D84" s="386"/>
      <c r="E84" s="386"/>
      <c r="F84" s="33" t="n">
        <f>IFERROR(VLOOKUP(C84,'MATERIAS PRIMAS'!$B$5:$F$104,5,FALSE),0)</f>
        <v>0</v>
      </c>
      <c r="G84" s="33">
        <f t="shared" si="1"/>
        <v>0</v>
      </c>
      <c r="H84" s="36" t="n">
        <f>IFERROR(D84/VLOOKUP(A84,PRODUCTOS!$A$6:$D$35,4,FALSE),0)</f>
        <v>0</v>
      </c>
      <c r="I84" s="386"/>
      <c r="J84" s="3"/>
      <c r="K84" s="3"/>
      <c r="L84" s="3"/>
      <c r="M84" s="3"/>
    </row>
    <row r="85" ht="15.75" customHeight="1">
      <c r="A85" s="386"/>
      <c r="B85" s="26" t="str">
        <f>IFERROR(VLOOKUP(A85,PRODUCTOS!$A$6:$B$35,2,FALSE),"")</f>
      </c>
      <c r="C85" s="386"/>
      <c r="D85" s="386"/>
      <c r="E85" s="386"/>
      <c r="F85" s="33" t="n">
        <f>IFERROR(VLOOKUP(C85,'MATERIAS PRIMAS'!$B$5:$F$104,5,FALSE),0)</f>
        <v>0</v>
      </c>
      <c r="G85" s="33">
        <f t="shared" si="1"/>
        <v>0</v>
      </c>
      <c r="H85" s="36" t="n">
        <f>IFERROR(D85/VLOOKUP(A85,PRODUCTOS!$A$6:$D$35,4,FALSE),0)</f>
        <v>0</v>
      </c>
      <c r="I85" s="386"/>
      <c r="J85" s="3"/>
      <c r="K85" s="3"/>
      <c r="L85" s="3"/>
      <c r="M85" s="3"/>
    </row>
    <row r="86" ht="15.75" customHeight="1">
      <c r="A86" s="386"/>
      <c r="B86" s="26" t="str">
        <f>IFERROR(VLOOKUP(A86,PRODUCTOS!$A$6:$B$35,2,FALSE),"")</f>
      </c>
      <c r="C86" s="386"/>
      <c r="D86" s="386"/>
      <c r="E86" s="386"/>
      <c r="F86" s="33" t="n">
        <f>IFERROR(VLOOKUP(C86,'MATERIAS PRIMAS'!$B$5:$F$104,5,FALSE),0)</f>
        <v>0</v>
      </c>
      <c r="G86" s="33">
        <f t="shared" si="1"/>
        <v>0</v>
      </c>
      <c r="H86" s="36" t="n">
        <f>IFERROR(D86/VLOOKUP(A86,PRODUCTOS!$A$6:$D$35,4,FALSE),0)</f>
        <v>0</v>
      </c>
      <c r="I86" s="386"/>
      <c r="J86" s="3"/>
      <c r="K86" s="3"/>
      <c r="L86" s="3"/>
      <c r="M86" s="3"/>
    </row>
    <row r="87" ht="15.75" customHeight="1">
      <c r="A87" s="386"/>
      <c r="B87" s="26" t="str">
        <f>IFERROR(VLOOKUP(A87,PRODUCTOS!$A$6:$B$35,2,FALSE),"")</f>
      </c>
      <c r="C87" s="386"/>
      <c r="D87" s="386"/>
      <c r="E87" s="386"/>
      <c r="F87" s="33" t="n">
        <f>IFERROR(VLOOKUP(C87,'MATERIAS PRIMAS'!$B$5:$F$104,5,FALSE),0)</f>
        <v>0</v>
      </c>
      <c r="G87" s="33">
        <f t="shared" si="1"/>
        <v>0</v>
      </c>
      <c r="H87" s="36" t="n">
        <f>IFERROR(D87/VLOOKUP(A87,PRODUCTOS!$A$6:$D$35,4,FALSE),0)</f>
        <v>0</v>
      </c>
      <c r="I87" s="386"/>
      <c r="J87" s="3"/>
      <c r="K87" s="3"/>
      <c r="L87" s="3"/>
      <c r="M87" s="3"/>
    </row>
    <row r="88" ht="15.75" customHeight="1">
      <c r="A88" s="386"/>
      <c r="B88" s="26" t="str">
        <f>IFERROR(VLOOKUP(A88,PRODUCTOS!$A$6:$B$35,2,FALSE),"")</f>
      </c>
      <c r="C88" s="386"/>
      <c r="D88" s="386"/>
      <c r="E88" s="386"/>
      <c r="F88" s="33" t="n">
        <f>IFERROR(VLOOKUP(C88,'MATERIAS PRIMAS'!$B$5:$F$104,5,FALSE),0)</f>
        <v>0</v>
      </c>
      <c r="G88" s="33">
        <f t="shared" si="1"/>
        <v>0</v>
      </c>
      <c r="H88" s="36" t="n">
        <f>IFERROR(D88/VLOOKUP(A88,PRODUCTOS!$A$6:$D$35,4,FALSE),0)</f>
        <v>0</v>
      </c>
      <c r="I88" s="386"/>
      <c r="J88" s="3"/>
      <c r="K88" s="3"/>
      <c r="L88" s="3"/>
      <c r="M88" s="3"/>
    </row>
    <row r="89" ht="15.75" customHeight="1">
      <c r="A89" s="386"/>
      <c r="B89" s="26" t="str">
        <f>IFERROR(VLOOKUP(A89,PRODUCTOS!$A$6:$B$35,2,FALSE),"")</f>
      </c>
      <c r="C89" s="386"/>
      <c r="D89" s="386"/>
      <c r="E89" s="386"/>
      <c r="F89" s="33" t="n">
        <f>IFERROR(VLOOKUP(C89,'MATERIAS PRIMAS'!$B$5:$F$104,5,FALSE),0)</f>
        <v>0</v>
      </c>
      <c r="G89" s="33">
        <f t="shared" si="1"/>
        <v>0</v>
      </c>
      <c r="H89" s="36" t="n">
        <f>IFERROR(D89/VLOOKUP(A89,PRODUCTOS!$A$6:$D$35,4,FALSE),0)</f>
        <v>0</v>
      </c>
      <c r="I89" s="386"/>
      <c r="J89" s="3"/>
      <c r="K89" s="3"/>
      <c r="L89" s="3"/>
      <c r="M89" s="3"/>
    </row>
    <row r="90" ht="15.75" customHeight="1">
      <c r="A90" s="386"/>
      <c r="B90" s="26" t="str">
        <f>IFERROR(VLOOKUP(A90,PRODUCTOS!$A$6:$B$35,2,FALSE),"")</f>
      </c>
      <c r="C90" s="386"/>
      <c r="D90" s="386"/>
      <c r="E90" s="386"/>
      <c r="F90" s="33" t="n">
        <f>IFERROR(VLOOKUP(C90,'MATERIAS PRIMAS'!$B$5:$F$104,5,FALSE),0)</f>
        <v>0</v>
      </c>
      <c r="G90" s="33">
        <f t="shared" si="1"/>
        <v>0</v>
      </c>
      <c r="H90" s="36" t="n">
        <f>IFERROR(D90/VLOOKUP(A90,PRODUCTOS!$A$6:$D$35,4,FALSE),0)</f>
        <v>0</v>
      </c>
      <c r="I90" s="386"/>
      <c r="J90" s="3"/>
      <c r="K90" s="3"/>
      <c r="L90" s="3"/>
      <c r="M90" s="3"/>
    </row>
    <row r="91" ht="15.75" customHeight="1">
      <c r="A91" s="386"/>
      <c r="B91" s="26" t="str">
        <f>IFERROR(VLOOKUP(A91,PRODUCTOS!$A$6:$B$35,2,FALSE),"")</f>
      </c>
      <c r="C91" s="386"/>
      <c r="D91" s="386"/>
      <c r="E91" s="386"/>
      <c r="F91" s="33" t="n">
        <f>IFERROR(VLOOKUP(C91,'MATERIAS PRIMAS'!$B$5:$F$104,5,FALSE),0)</f>
        <v>0</v>
      </c>
      <c r="G91" s="33">
        <f t="shared" si="1"/>
        <v>0</v>
      </c>
      <c r="H91" s="36" t="n">
        <f>IFERROR(D91/VLOOKUP(A91,PRODUCTOS!$A$6:$D$35,4,FALSE),0)</f>
        <v>0</v>
      </c>
      <c r="I91" s="386"/>
      <c r="J91" s="3"/>
      <c r="K91" s="3"/>
      <c r="L91" s="3"/>
      <c r="M91" s="3"/>
    </row>
    <row r="92" ht="15.75" customHeight="1">
      <c r="A92" s="386"/>
      <c r="B92" s="26" t="str">
        <f>IFERROR(VLOOKUP(A92,PRODUCTOS!$A$6:$B$35,2,FALSE),"")</f>
      </c>
      <c r="C92" s="386"/>
      <c r="D92" s="386"/>
      <c r="E92" s="386"/>
      <c r="F92" s="33" t="n">
        <f>IFERROR(VLOOKUP(C92,'MATERIAS PRIMAS'!$B$5:$F$104,5,FALSE),0)</f>
        <v>0</v>
      </c>
      <c r="G92" s="33">
        <f t="shared" si="1"/>
        <v>0</v>
      </c>
      <c r="H92" s="36" t="n">
        <f>IFERROR(D92/VLOOKUP(A92,PRODUCTOS!$A$6:$D$35,4,FALSE),0)</f>
        <v>0</v>
      </c>
      <c r="I92" s="386"/>
      <c r="J92" s="3"/>
      <c r="K92" s="3"/>
      <c r="L92" s="3"/>
      <c r="M92" s="3"/>
    </row>
    <row r="93" ht="15.75" customHeight="1">
      <c r="A93" s="386"/>
      <c r="B93" s="26" t="str">
        <f>IFERROR(VLOOKUP(A93,PRODUCTOS!$A$6:$B$35,2,FALSE),"")</f>
      </c>
      <c r="C93" s="386"/>
      <c r="D93" s="386"/>
      <c r="E93" s="386"/>
      <c r="F93" s="33" t="n">
        <f>IFERROR(VLOOKUP(C93,'MATERIAS PRIMAS'!$B$5:$F$104,5,FALSE),0)</f>
        <v>0</v>
      </c>
      <c r="G93" s="33">
        <f t="shared" si="1"/>
        <v>0</v>
      </c>
      <c r="H93" s="36" t="n">
        <f>IFERROR(D93/VLOOKUP(A93,PRODUCTOS!$A$6:$D$35,4,FALSE),0)</f>
        <v>0</v>
      </c>
      <c r="I93" s="386"/>
      <c r="J93" s="3"/>
      <c r="K93" s="3"/>
      <c r="L93" s="3"/>
      <c r="M93" s="3"/>
    </row>
    <row r="94" ht="15.75" customHeight="1">
      <c r="A94" s="386"/>
      <c r="B94" s="26" t="str">
        <f>IFERROR(VLOOKUP(A94,PRODUCTOS!$A$6:$B$35,2,FALSE),"")</f>
      </c>
      <c r="C94" s="386"/>
      <c r="D94" s="386"/>
      <c r="E94" s="386"/>
      <c r="F94" s="33" t="n">
        <f>IFERROR(VLOOKUP(C94,'MATERIAS PRIMAS'!$B$5:$F$104,5,FALSE),0)</f>
        <v>0</v>
      </c>
      <c r="G94" s="33">
        <f t="shared" si="1"/>
        <v>0</v>
      </c>
      <c r="H94" s="36" t="n">
        <f>IFERROR(D94/VLOOKUP(A94,PRODUCTOS!$A$6:$D$35,4,FALSE),0)</f>
        <v>0</v>
      </c>
      <c r="I94" s="386"/>
      <c r="J94" s="3"/>
      <c r="K94" s="3"/>
      <c r="L94" s="3"/>
      <c r="M94" s="3"/>
    </row>
    <row r="95" ht="15.75" customHeight="1">
      <c r="A95" s="386"/>
      <c r="B95" s="26" t="str">
        <f>IFERROR(VLOOKUP(A95,PRODUCTOS!$A$6:$B$35,2,FALSE),"")</f>
      </c>
      <c r="C95" s="386"/>
      <c r="D95" s="386"/>
      <c r="E95" s="386"/>
      <c r="F95" s="33" t="n">
        <f>IFERROR(VLOOKUP(C95,'MATERIAS PRIMAS'!$B$5:$F$104,5,FALSE),0)</f>
        <v>0</v>
      </c>
      <c r="G95" s="33">
        <f t="shared" si="1"/>
        <v>0</v>
      </c>
      <c r="H95" s="36" t="n">
        <f>IFERROR(D95/VLOOKUP(A95,PRODUCTOS!$A$6:$D$35,4,FALSE),0)</f>
        <v>0</v>
      </c>
      <c r="I95" s="386"/>
      <c r="J95" s="3"/>
      <c r="K95" s="3"/>
      <c r="L95" s="3"/>
      <c r="M95" s="3"/>
    </row>
    <row r="96" ht="15.75" customHeight="1">
      <c r="A96" s="386"/>
      <c r="B96" s="26" t="str">
        <f>IFERROR(VLOOKUP(A96,PRODUCTOS!$A$6:$B$35,2,FALSE),"")</f>
      </c>
      <c r="C96" s="386"/>
      <c r="D96" s="386"/>
      <c r="E96" s="386"/>
      <c r="F96" s="33" t="n">
        <f>IFERROR(VLOOKUP(C96,'MATERIAS PRIMAS'!$B$5:$F$104,5,FALSE),0)</f>
        <v>0</v>
      </c>
      <c r="G96" s="33">
        <f t="shared" si="1"/>
        <v>0</v>
      </c>
      <c r="H96" s="36" t="n">
        <f>IFERROR(D96/VLOOKUP(A96,PRODUCTOS!$A$6:$D$35,4,FALSE),0)</f>
        <v>0</v>
      </c>
      <c r="I96" s="386"/>
      <c r="J96" s="3"/>
      <c r="K96" s="3"/>
      <c r="L96" s="3"/>
      <c r="M96" s="3"/>
    </row>
    <row r="97" ht="15.75" customHeight="1">
      <c r="A97" s="386"/>
      <c r="B97" s="26" t="str">
        <f>IFERROR(VLOOKUP(A97,PRODUCTOS!$A$6:$B$35,2,FALSE),"")</f>
      </c>
      <c r="C97" s="386"/>
      <c r="D97" s="386"/>
      <c r="E97" s="386"/>
      <c r="F97" s="33" t="n">
        <f>IFERROR(VLOOKUP(C97,'MATERIAS PRIMAS'!$B$5:$F$104,5,FALSE),0)</f>
        <v>0</v>
      </c>
      <c r="G97" s="33">
        <f t="shared" si="1"/>
        <v>0</v>
      </c>
      <c r="H97" s="36" t="n">
        <f>IFERROR(D97/VLOOKUP(A97,PRODUCTOS!$A$6:$D$35,4,FALSE),0)</f>
        <v>0</v>
      </c>
      <c r="I97" s="386"/>
      <c r="J97" s="3"/>
      <c r="K97" s="3"/>
      <c r="L97" s="3"/>
      <c r="M97" s="3"/>
    </row>
    <row r="98" ht="15.75" customHeight="1">
      <c r="A98" s="386"/>
      <c r="B98" s="26" t="str">
        <f>IFERROR(VLOOKUP(A98,PRODUCTOS!$A$6:$B$35,2,FALSE),"")</f>
      </c>
      <c r="C98" s="386"/>
      <c r="D98" s="386"/>
      <c r="E98" s="386"/>
      <c r="F98" s="33" t="n">
        <f>IFERROR(VLOOKUP(C98,'MATERIAS PRIMAS'!$B$5:$F$104,5,FALSE),0)</f>
        <v>0</v>
      </c>
      <c r="G98" s="33">
        <f t="shared" si="1"/>
        <v>0</v>
      </c>
      <c r="H98" s="36" t="n">
        <f>IFERROR(D98/VLOOKUP(A98,PRODUCTOS!$A$6:$D$35,4,FALSE),0)</f>
        <v>0</v>
      </c>
      <c r="I98" s="386"/>
      <c r="J98" s="3"/>
      <c r="K98" s="3"/>
      <c r="L98" s="3"/>
      <c r="M98" s="3"/>
    </row>
    <row r="99" ht="15.75" customHeight="1">
      <c r="A99" s="386"/>
      <c r="B99" s="26" t="str">
        <f>IFERROR(VLOOKUP(A99,PRODUCTOS!$A$6:$B$35,2,FALSE),"")</f>
      </c>
      <c r="C99" s="386"/>
      <c r="D99" s="386"/>
      <c r="E99" s="386"/>
      <c r="F99" s="33" t="n">
        <f>IFERROR(VLOOKUP(C99,'MATERIAS PRIMAS'!$B$5:$F$104,5,FALSE),0)</f>
        <v>0</v>
      </c>
      <c r="G99" s="33">
        <f t="shared" si="1"/>
        <v>0</v>
      </c>
      <c r="H99" s="36" t="n">
        <f>IFERROR(D99/VLOOKUP(A99,PRODUCTOS!$A$6:$D$35,4,FALSE),0)</f>
        <v>0</v>
      </c>
      <c r="I99" s="386"/>
      <c r="J99" s="3"/>
      <c r="K99" s="3"/>
      <c r="L99" s="3"/>
      <c r="M99" s="3"/>
    </row>
    <row r="100" ht="15.75" customHeight="1">
      <c r="A100" s="386"/>
      <c r="B100" s="26" t="str">
        <f>IFERROR(VLOOKUP(A100,PRODUCTOS!$A$6:$B$35,2,FALSE),"")</f>
      </c>
      <c r="C100" s="386"/>
      <c r="D100" s="386"/>
      <c r="E100" s="386"/>
      <c r="F100" s="33" t="n">
        <f>IFERROR(VLOOKUP(C100,'MATERIAS PRIMAS'!$B$5:$F$104,5,FALSE),0)</f>
        <v>0</v>
      </c>
      <c r="G100" s="33">
        <f t="shared" si="1"/>
        <v>0</v>
      </c>
      <c r="H100" s="36" t="n">
        <f>IFERROR(D100/VLOOKUP(A100,PRODUCTOS!$A$6:$D$35,4,FALSE),0)</f>
        <v>0</v>
      </c>
      <c r="I100" s="386"/>
      <c r="J100" s="3"/>
      <c r="K100" s="3"/>
      <c r="L100" s="3"/>
      <c r="M100" s="3"/>
    </row>
    <row r="101" ht="15.75" customHeight="1">
      <c r="A101" s="386"/>
      <c r="B101" s="26" t="str">
        <f>IFERROR(VLOOKUP(A101,PRODUCTOS!$A$6:$B$35,2,FALSE),"")</f>
      </c>
      <c r="C101" s="386"/>
      <c r="D101" s="386"/>
      <c r="E101" s="386"/>
      <c r="F101" s="33" t="n">
        <f>IFERROR(VLOOKUP(C101,'MATERIAS PRIMAS'!$B$5:$F$104,5,FALSE),0)</f>
        <v>0</v>
      </c>
      <c r="G101" s="33">
        <f t="shared" si="1"/>
        <v>0</v>
      </c>
      <c r="H101" s="36" t="n">
        <f>IFERROR(D101/VLOOKUP(A101,PRODUCTOS!$A$6:$D$35,4,FALSE),0)</f>
        <v>0</v>
      </c>
      <c r="I101" s="386"/>
      <c r="J101" s="3"/>
      <c r="K101" s="3"/>
      <c r="L101" s="3"/>
      <c r="M101" s="3"/>
    </row>
    <row r="102" ht="15.75" customHeight="1">
      <c r="A102" s="386"/>
      <c r="B102" s="26" t="str">
        <f>IFERROR(VLOOKUP(A102,PRODUCTOS!$A$6:$B$35,2,FALSE),"")</f>
      </c>
      <c r="C102" s="386"/>
      <c r="D102" s="386"/>
      <c r="E102" s="386"/>
      <c r="F102" s="33" t="n">
        <f>IFERROR(VLOOKUP(C102,'MATERIAS PRIMAS'!$B$5:$F$104,5,FALSE),0)</f>
        <v>0</v>
      </c>
      <c r="G102" s="33">
        <f t="shared" si="1"/>
        <v>0</v>
      </c>
      <c r="H102" s="36" t="n">
        <f>IFERROR(D102/VLOOKUP(A102,PRODUCTOS!$A$6:$D$35,4,FALSE),0)</f>
        <v>0</v>
      </c>
      <c r="I102" s="386"/>
      <c r="J102" s="3"/>
      <c r="K102" s="3"/>
      <c r="L102" s="3"/>
      <c r="M102" s="3"/>
    </row>
    <row r="103" ht="15.75" customHeight="1">
      <c r="A103" s="386"/>
      <c r="B103" s="26" t="str">
        <f>IFERROR(VLOOKUP(A103,PRODUCTOS!$A$6:$B$35,2,FALSE),"")</f>
      </c>
      <c r="C103" s="386"/>
      <c r="D103" s="386"/>
      <c r="E103" s="386"/>
      <c r="F103" s="33" t="n">
        <f>IFERROR(VLOOKUP(C103,'MATERIAS PRIMAS'!$B$5:$F$104,5,FALSE),0)</f>
        <v>0</v>
      </c>
      <c r="G103" s="33">
        <f t="shared" si="1"/>
        <v>0</v>
      </c>
      <c r="H103" s="36" t="n">
        <f>IFERROR(D103/VLOOKUP(A103,PRODUCTOS!$A$6:$D$35,4,FALSE),0)</f>
        <v>0</v>
      </c>
      <c r="I103" s="386"/>
      <c r="J103" s="3"/>
      <c r="K103" s="3"/>
      <c r="L103" s="3"/>
      <c r="M103" s="3"/>
    </row>
    <row r="104" ht="15.75" customHeight="1">
      <c r="A104" s="386"/>
      <c r="B104" s="26" t="str">
        <f>IFERROR(VLOOKUP(A104,PRODUCTOS!$A$6:$B$35,2,FALSE),"")</f>
      </c>
      <c r="C104" s="386"/>
      <c r="D104" s="386"/>
      <c r="E104" s="386"/>
      <c r="F104" s="33" t="n">
        <f>IFERROR(VLOOKUP(C104,'MATERIAS PRIMAS'!$B$5:$F$104,5,FALSE),0)</f>
        <v>0</v>
      </c>
      <c r="G104" s="33">
        <f t="shared" si="1"/>
        <v>0</v>
      </c>
      <c r="H104" s="36" t="n">
        <f>IFERROR(D104/VLOOKUP(A104,PRODUCTOS!$A$6:$D$35,4,FALSE),0)</f>
        <v>0</v>
      </c>
      <c r="I104" s="386"/>
      <c r="J104" s="3"/>
      <c r="K104" s="3"/>
      <c r="L104" s="3"/>
      <c r="M104" s="3"/>
    </row>
    <row r="105" ht="15.75" customHeight="1">
      <c r="A105" s="386"/>
      <c r="B105" s="26" t="str">
        <f>IFERROR(VLOOKUP(A105,PRODUCTOS!$A$6:$B$35,2,FALSE),"")</f>
      </c>
      <c r="C105" s="386"/>
      <c r="D105" s="386"/>
      <c r="E105" s="386"/>
      <c r="F105" s="33" t="n">
        <f>IFERROR(VLOOKUP(C105,'MATERIAS PRIMAS'!$B$5:$F$104,5,FALSE),0)</f>
        <v>0</v>
      </c>
      <c r="G105" s="33">
        <f t="shared" si="1"/>
        <v>0</v>
      </c>
      <c r="H105" s="36" t="n">
        <f>IFERROR(D105/VLOOKUP(A105,PRODUCTOS!$A$6:$D$35,4,FALSE),0)</f>
        <v>0</v>
      </c>
      <c r="I105" s="386"/>
      <c r="J105" s="3"/>
      <c r="K105" s="3"/>
      <c r="L105" s="3"/>
      <c r="M105" s="3"/>
    </row>
    <row r="106" ht="15.75" customHeight="1">
      <c r="A106" s="386"/>
      <c r="B106" s="26" t="str">
        <f>IFERROR(VLOOKUP(A106,PRODUCTOS!$A$6:$B$35,2,FALSE),"")</f>
      </c>
      <c r="C106" s="386"/>
      <c r="D106" s="386"/>
      <c r="E106" s="386"/>
      <c r="F106" s="33" t="n">
        <f>IFERROR(VLOOKUP(C106,'MATERIAS PRIMAS'!$B$5:$F$104,5,FALSE),0)</f>
        <v>0</v>
      </c>
      <c r="G106" s="33">
        <f t="shared" si="1"/>
        <v>0</v>
      </c>
      <c r="H106" s="36" t="n">
        <f>IFERROR(D106/VLOOKUP(A106,PRODUCTOS!$A$6:$D$35,4,FALSE),0)</f>
        <v>0</v>
      </c>
      <c r="I106" s="386"/>
      <c r="J106" s="3"/>
      <c r="K106" s="3"/>
      <c r="L106" s="3"/>
      <c r="M106" s="3"/>
    </row>
    <row r="107" ht="15.75" customHeight="1">
      <c r="A107" s="386"/>
      <c r="B107" s="26" t="str">
        <f>IFERROR(VLOOKUP(A107,PRODUCTOS!$A$6:$B$35,2,FALSE),"")</f>
      </c>
      <c r="C107" s="386"/>
      <c r="D107" s="386"/>
      <c r="E107" s="386"/>
      <c r="F107" s="33" t="n">
        <f>IFERROR(VLOOKUP(C107,'MATERIAS PRIMAS'!$B$5:$F$104,5,FALSE),0)</f>
        <v>0</v>
      </c>
      <c r="G107" s="33">
        <f t="shared" si="1"/>
        <v>0</v>
      </c>
      <c r="H107" s="36" t="n">
        <f>IFERROR(D107/VLOOKUP(A107,PRODUCTOS!$A$6:$D$35,4,FALSE),0)</f>
        <v>0</v>
      </c>
      <c r="I107" s="386"/>
      <c r="J107" s="3"/>
      <c r="K107" s="3"/>
      <c r="L107" s="3"/>
      <c r="M107" s="3"/>
    </row>
    <row r="108" ht="15.75" customHeight="1">
      <c r="A108" s="386"/>
      <c r="B108" s="26" t="str">
        <f>IFERROR(VLOOKUP(A108,PRODUCTOS!$A$6:$B$35,2,FALSE),"")</f>
      </c>
      <c r="C108" s="386"/>
      <c r="D108" s="386"/>
      <c r="E108" s="386"/>
      <c r="F108" s="33" t="n">
        <f>IFERROR(VLOOKUP(C108,'MATERIAS PRIMAS'!$B$5:$F$104,5,FALSE),0)</f>
        <v>0</v>
      </c>
      <c r="G108" s="33">
        <f t="shared" si="1"/>
        <v>0</v>
      </c>
      <c r="H108" s="36" t="n">
        <f>IFERROR(D108/VLOOKUP(A108,PRODUCTOS!$A$6:$D$35,4,FALSE),0)</f>
        <v>0</v>
      </c>
      <c r="I108" s="386"/>
      <c r="J108" s="3"/>
      <c r="K108" s="3"/>
      <c r="L108" s="3"/>
      <c r="M108" s="3"/>
    </row>
    <row r="109" ht="15.75" customHeight="1">
      <c r="A109" s="386"/>
      <c r="B109" s="26" t="str">
        <f>IFERROR(VLOOKUP(A109,PRODUCTOS!$A$6:$B$35,2,FALSE),"")</f>
      </c>
      <c r="C109" s="386"/>
      <c r="D109" s="386"/>
      <c r="E109" s="386"/>
      <c r="F109" s="33" t="n">
        <f>IFERROR(VLOOKUP(C109,'MATERIAS PRIMAS'!$B$5:$F$104,5,FALSE),0)</f>
        <v>0</v>
      </c>
      <c r="G109" s="33">
        <f t="shared" si="1"/>
        <v>0</v>
      </c>
      <c r="H109" s="36" t="n">
        <f>IFERROR(D109/VLOOKUP(A109,PRODUCTOS!$A$6:$D$35,4,FALSE),0)</f>
        <v>0</v>
      </c>
      <c r="I109" s="386"/>
      <c r="J109" s="3"/>
      <c r="K109" s="3"/>
      <c r="L109" s="3"/>
      <c r="M109" s="3"/>
    </row>
    <row r="110" ht="15.75" customHeight="1">
      <c r="A110" s="386"/>
      <c r="B110" s="26" t="str">
        <f>IFERROR(VLOOKUP(A110,PRODUCTOS!$A$6:$B$35,2,FALSE),"")</f>
      </c>
      <c r="C110" s="386"/>
      <c r="D110" s="386"/>
      <c r="E110" s="386"/>
      <c r="F110" s="33" t="n">
        <f>IFERROR(VLOOKUP(C110,'MATERIAS PRIMAS'!$B$5:$F$104,5,FALSE),0)</f>
        <v>0</v>
      </c>
      <c r="G110" s="33">
        <f t="shared" si="1"/>
        <v>0</v>
      </c>
      <c r="H110" s="36" t="n">
        <f>IFERROR(D110/VLOOKUP(A110,PRODUCTOS!$A$6:$D$35,4,FALSE),0)</f>
        <v>0</v>
      </c>
      <c r="I110" s="386"/>
      <c r="J110" s="3"/>
      <c r="K110" s="3"/>
      <c r="L110" s="3"/>
      <c r="M110" s="3"/>
    </row>
    <row r="111" ht="15.75" customHeight="1">
      <c r="A111" s="386"/>
      <c r="B111" s="26" t="str">
        <f>IFERROR(VLOOKUP(A111,PRODUCTOS!$A$6:$B$35,2,FALSE),"")</f>
      </c>
      <c r="C111" s="386"/>
      <c r="D111" s="386"/>
      <c r="E111" s="386"/>
      <c r="F111" s="33" t="n">
        <f>IFERROR(VLOOKUP(C111,'MATERIAS PRIMAS'!$B$5:$F$104,5,FALSE),0)</f>
        <v>0</v>
      </c>
      <c r="G111" s="33">
        <f t="shared" si="1"/>
        <v>0</v>
      </c>
      <c r="H111" s="36" t="n">
        <f>IFERROR(D111/VLOOKUP(A111,PRODUCTOS!$A$6:$D$35,4,FALSE),0)</f>
        <v>0</v>
      </c>
      <c r="I111" s="386"/>
      <c r="J111" s="3"/>
      <c r="K111" s="3"/>
      <c r="L111" s="3"/>
      <c r="M111" s="3"/>
    </row>
    <row r="112" ht="15.75" customHeight="1">
      <c r="A112" s="386"/>
      <c r="B112" s="26" t="str">
        <f>IFERROR(VLOOKUP(A112,PRODUCTOS!$A$6:$B$35,2,FALSE),"")</f>
      </c>
      <c r="C112" s="386"/>
      <c r="D112" s="386"/>
      <c r="E112" s="386"/>
      <c r="F112" s="33" t="n">
        <f>IFERROR(VLOOKUP(C112,'MATERIAS PRIMAS'!$B$5:$F$104,5,FALSE),0)</f>
        <v>0</v>
      </c>
      <c r="G112" s="33">
        <f t="shared" si="1"/>
        <v>0</v>
      </c>
      <c r="H112" s="36" t="n">
        <f>IFERROR(D112/VLOOKUP(A112,PRODUCTOS!$A$6:$D$35,4,FALSE),0)</f>
        <v>0</v>
      </c>
      <c r="I112" s="386"/>
      <c r="J112" s="3"/>
      <c r="K112" s="3"/>
      <c r="L112" s="3"/>
      <c r="M112" s="3"/>
    </row>
    <row r="113" ht="15.75" customHeight="1">
      <c r="A113" s="386"/>
      <c r="B113" s="26" t="str">
        <f>IFERROR(VLOOKUP(A113,PRODUCTOS!$A$6:$B$35,2,FALSE),"")</f>
      </c>
      <c r="C113" s="386"/>
      <c r="D113" s="386"/>
      <c r="E113" s="386"/>
      <c r="F113" s="33" t="n">
        <f>IFERROR(VLOOKUP(C113,'MATERIAS PRIMAS'!$B$5:$F$104,5,FALSE),0)</f>
        <v>0</v>
      </c>
      <c r="G113" s="33">
        <f t="shared" si="1"/>
        <v>0</v>
      </c>
      <c r="H113" s="36" t="n">
        <f>IFERROR(D113/VLOOKUP(A113,PRODUCTOS!$A$6:$D$35,4,FALSE),0)</f>
        <v>0</v>
      </c>
      <c r="I113" s="386"/>
      <c r="J113" s="3"/>
      <c r="K113" s="3"/>
      <c r="L113" s="3"/>
      <c r="M113" s="3"/>
    </row>
    <row r="114" ht="15.75" customHeight="1">
      <c r="A114" s="386"/>
      <c r="B114" s="26" t="str">
        <f>IFERROR(VLOOKUP(A114,PRODUCTOS!$A$6:$B$35,2,FALSE),"")</f>
      </c>
      <c r="C114" s="386"/>
      <c r="D114" s="386"/>
      <c r="E114" s="386"/>
      <c r="F114" s="33" t="n">
        <f>IFERROR(VLOOKUP(C114,'MATERIAS PRIMAS'!$B$5:$F$104,5,FALSE),0)</f>
        <v>0</v>
      </c>
      <c r="G114" s="33">
        <f t="shared" si="1"/>
        <v>0</v>
      </c>
      <c r="H114" s="36" t="n">
        <f>IFERROR(D114/VLOOKUP(A114,PRODUCTOS!$A$6:$D$35,4,FALSE),0)</f>
        <v>0</v>
      </c>
      <c r="I114" s="386"/>
      <c r="J114" s="3"/>
      <c r="K114" s="3"/>
      <c r="L114" s="3"/>
      <c r="M114" s="3"/>
    </row>
    <row r="115" ht="15.75" customHeight="1">
      <c r="A115" s="386"/>
      <c r="B115" s="26" t="str">
        <f>IFERROR(VLOOKUP(A115,PRODUCTOS!$A$6:$B$35,2,FALSE),"")</f>
      </c>
      <c r="C115" s="386"/>
      <c r="D115" s="386"/>
      <c r="E115" s="386"/>
      <c r="F115" s="33" t="n">
        <f>IFERROR(VLOOKUP(C115,'MATERIAS PRIMAS'!$B$5:$F$104,5,FALSE),0)</f>
        <v>0</v>
      </c>
      <c r="G115" s="33">
        <f t="shared" si="1"/>
        <v>0</v>
      </c>
      <c r="H115" s="36" t="n">
        <f>IFERROR(D115/VLOOKUP(A115,PRODUCTOS!$A$6:$D$35,4,FALSE),0)</f>
        <v>0</v>
      </c>
      <c r="I115" s="386"/>
      <c r="J115" s="3"/>
      <c r="K115" s="3"/>
      <c r="L115" s="3"/>
      <c r="M115" s="3"/>
    </row>
    <row r="116" ht="15.75" customHeight="1">
      <c r="A116" s="386"/>
      <c r="B116" s="26" t="str">
        <f>IFERROR(VLOOKUP(A116,PRODUCTOS!$A$6:$B$35,2,FALSE),"")</f>
      </c>
      <c r="C116" s="386"/>
      <c r="D116" s="386"/>
      <c r="E116" s="386"/>
      <c r="F116" s="33" t="n">
        <f>IFERROR(VLOOKUP(C116,'MATERIAS PRIMAS'!$B$5:$F$104,5,FALSE),0)</f>
        <v>0</v>
      </c>
      <c r="G116" s="33">
        <f t="shared" si="1"/>
        <v>0</v>
      </c>
      <c r="H116" s="36" t="n">
        <f>IFERROR(D116/VLOOKUP(A116,PRODUCTOS!$A$6:$D$35,4,FALSE),0)</f>
        <v>0</v>
      </c>
      <c r="I116" s="386"/>
      <c r="J116" s="3"/>
      <c r="K116" s="3"/>
      <c r="L116" s="3"/>
      <c r="M116" s="3"/>
    </row>
    <row r="117" ht="15.75" customHeight="1">
      <c r="A117" s="386"/>
      <c r="B117" s="26" t="str">
        <f>IFERROR(VLOOKUP(A117,PRODUCTOS!$A$6:$B$35,2,FALSE),"")</f>
      </c>
      <c r="C117" s="386"/>
      <c r="D117" s="386"/>
      <c r="E117" s="386"/>
      <c r="F117" s="33" t="n">
        <f>IFERROR(VLOOKUP(C117,'MATERIAS PRIMAS'!$B$5:$F$104,5,FALSE),0)</f>
        <v>0</v>
      </c>
      <c r="G117" s="33">
        <f t="shared" si="1"/>
        <v>0</v>
      </c>
      <c r="H117" s="36" t="n">
        <f>IFERROR(D117/VLOOKUP(A117,PRODUCTOS!$A$6:$D$35,4,FALSE),0)</f>
        <v>0</v>
      </c>
      <c r="I117" s="386"/>
      <c r="J117" s="3"/>
      <c r="K117" s="3"/>
      <c r="L117" s="3"/>
      <c r="M117" s="3"/>
    </row>
    <row r="118" ht="15.75" customHeight="1">
      <c r="A118" s="386"/>
      <c r="B118" s="26" t="str">
        <f>IFERROR(VLOOKUP(A118,PRODUCTOS!$A$6:$B$35,2,FALSE),"")</f>
      </c>
      <c r="C118" s="386"/>
      <c r="D118" s="386"/>
      <c r="E118" s="386"/>
      <c r="F118" s="33" t="n">
        <f>IFERROR(VLOOKUP(C118,'MATERIAS PRIMAS'!$B$5:$F$104,5,FALSE),0)</f>
        <v>0</v>
      </c>
      <c r="G118" s="33">
        <f t="shared" si="1"/>
        <v>0</v>
      </c>
      <c r="H118" s="36" t="n">
        <f>IFERROR(D118/VLOOKUP(A118,PRODUCTOS!$A$6:$D$35,4,FALSE),0)</f>
        <v>0</v>
      </c>
      <c r="I118" s="386"/>
      <c r="J118" s="3"/>
      <c r="K118" s="3"/>
      <c r="L118" s="3"/>
      <c r="M118" s="3"/>
    </row>
    <row r="119" ht="15.75" customHeight="1">
      <c r="A119" s="386"/>
      <c r="B119" s="26" t="str">
        <f>IFERROR(VLOOKUP(A119,PRODUCTOS!$A$6:$B$35,2,FALSE),"")</f>
      </c>
      <c r="C119" s="386"/>
      <c r="D119" s="386"/>
      <c r="E119" s="386"/>
      <c r="F119" s="33" t="n">
        <f>IFERROR(VLOOKUP(C119,'MATERIAS PRIMAS'!$B$5:$F$104,5,FALSE),0)</f>
        <v>0</v>
      </c>
      <c r="G119" s="33">
        <f t="shared" si="1"/>
        <v>0</v>
      </c>
      <c r="H119" s="36" t="n">
        <f>IFERROR(D119/VLOOKUP(A119,PRODUCTOS!$A$6:$D$35,4,FALSE),0)</f>
        <v>0</v>
      </c>
      <c r="I119" s="386"/>
      <c r="J119" s="3"/>
      <c r="K119" s="3"/>
      <c r="L119" s="3"/>
      <c r="M119" s="3"/>
    </row>
    <row r="120" ht="15.75" customHeight="1">
      <c r="A120" s="386"/>
      <c r="B120" s="26" t="str">
        <f>IFERROR(VLOOKUP(A120,PRODUCTOS!$A$6:$B$35,2,FALSE),"")</f>
      </c>
      <c r="C120" s="386"/>
      <c r="D120" s="386"/>
      <c r="E120" s="386"/>
      <c r="F120" s="33" t="n">
        <f>IFERROR(VLOOKUP(C120,'MATERIAS PRIMAS'!$B$5:$F$104,5,FALSE),0)</f>
        <v>0</v>
      </c>
      <c r="G120" s="33">
        <f t="shared" si="1"/>
        <v>0</v>
      </c>
      <c r="H120" s="36" t="n">
        <f>IFERROR(D120/VLOOKUP(A120,PRODUCTOS!$A$6:$D$35,4,FALSE),0)</f>
        <v>0</v>
      </c>
      <c r="I120" s="386"/>
      <c r="J120" s="3"/>
      <c r="K120" s="3"/>
      <c r="L120" s="3"/>
      <c r="M120" s="3"/>
    </row>
    <row r="121" ht="15.75" customHeight="1">
      <c r="A121" s="386"/>
      <c r="B121" s="26" t="str">
        <f>IFERROR(VLOOKUP(A121,PRODUCTOS!$A$6:$B$35,2,FALSE),"")</f>
      </c>
      <c r="C121" s="386"/>
      <c r="D121" s="386"/>
      <c r="E121" s="386"/>
      <c r="F121" s="33" t="n">
        <f>IFERROR(VLOOKUP(C121,'MATERIAS PRIMAS'!$B$5:$F$104,5,FALSE),0)</f>
        <v>0</v>
      </c>
      <c r="G121" s="33">
        <f t="shared" si="1"/>
        <v>0</v>
      </c>
      <c r="H121" s="36" t="n">
        <f>IFERROR(D121/VLOOKUP(A121,PRODUCTOS!$A$6:$D$35,4,FALSE),0)</f>
        <v>0</v>
      </c>
      <c r="I121" s="386"/>
      <c r="J121" s="3"/>
      <c r="K121" s="3"/>
      <c r="L121" s="3"/>
      <c r="M121" s="3"/>
    </row>
    <row r="122" ht="15.75" customHeight="1">
      <c r="A122" s="386"/>
      <c r="B122" s="26" t="str">
        <f>IFERROR(VLOOKUP(A122,PRODUCTOS!$A$6:$B$35,2,FALSE),"")</f>
      </c>
      <c r="C122" s="386"/>
      <c r="D122" s="386"/>
      <c r="E122" s="386"/>
      <c r="F122" s="33" t="n">
        <f>IFERROR(VLOOKUP(C122,'MATERIAS PRIMAS'!$B$5:$F$104,5,FALSE),0)</f>
        <v>0</v>
      </c>
      <c r="G122" s="33">
        <f t="shared" si="1"/>
        <v>0</v>
      </c>
      <c r="H122" s="36" t="n">
        <f>IFERROR(D122/VLOOKUP(A122,PRODUCTOS!$A$6:$D$35,4,FALSE),0)</f>
        <v>0</v>
      </c>
      <c r="I122" s="386"/>
      <c r="J122" s="3"/>
      <c r="K122" s="3"/>
      <c r="L122" s="3"/>
      <c r="M122" s="3"/>
    </row>
    <row r="123" ht="15.75" customHeight="1">
      <c r="A123" s="386"/>
      <c r="B123" s="26" t="str">
        <f>IFERROR(VLOOKUP(A123,PRODUCTOS!$A$6:$B$35,2,FALSE),"")</f>
      </c>
      <c r="C123" s="386"/>
      <c r="D123" s="386"/>
      <c r="E123" s="386"/>
      <c r="F123" s="33" t="n">
        <f>IFERROR(VLOOKUP(C123,'MATERIAS PRIMAS'!$B$5:$F$104,5,FALSE),0)</f>
        <v>0</v>
      </c>
      <c r="G123" s="33">
        <f t="shared" si="1"/>
        <v>0</v>
      </c>
      <c r="H123" s="36" t="n">
        <f>IFERROR(D123/VLOOKUP(A123,PRODUCTOS!$A$6:$D$35,4,FALSE),0)</f>
        <v>0</v>
      </c>
      <c r="I123" s="386"/>
      <c r="J123" s="3"/>
      <c r="K123" s="3"/>
      <c r="L123" s="3"/>
      <c r="M123" s="3"/>
    </row>
    <row r="124" ht="15.75" customHeight="1">
      <c r="A124" s="386"/>
      <c r="B124" s="26" t="str">
        <f>IFERROR(VLOOKUP(A124,PRODUCTOS!$A$6:$B$35,2,FALSE),"")</f>
      </c>
      <c r="C124" s="386"/>
      <c r="D124" s="386"/>
      <c r="E124" s="386"/>
      <c r="F124" s="33" t="n">
        <f>IFERROR(VLOOKUP(C124,'MATERIAS PRIMAS'!$B$5:$F$104,5,FALSE),0)</f>
        <v>0</v>
      </c>
      <c r="G124" s="33">
        <f t="shared" si="1"/>
        <v>0</v>
      </c>
      <c r="H124" s="36" t="n">
        <f>IFERROR(D124/VLOOKUP(A124,PRODUCTOS!$A$6:$D$35,4,FALSE),0)</f>
        <v>0</v>
      </c>
      <c r="I124" s="386"/>
      <c r="J124" s="3"/>
      <c r="K124" s="3"/>
      <c r="L124" s="3"/>
      <c r="M124" s="3"/>
    </row>
    <row r="125" ht="15.75" customHeight="1">
      <c r="A125" s="386"/>
      <c r="B125" s="26" t="str">
        <f>IFERROR(VLOOKUP(A125,PRODUCTOS!$A$6:$B$35,2,FALSE),"")</f>
      </c>
      <c r="C125" s="386"/>
      <c r="D125" s="386"/>
      <c r="E125" s="386"/>
      <c r="F125" s="33" t="n">
        <f>IFERROR(VLOOKUP(C125,'MATERIAS PRIMAS'!$B$5:$F$104,5,FALSE),0)</f>
        <v>0</v>
      </c>
      <c r="G125" s="33">
        <f t="shared" si="1"/>
        <v>0</v>
      </c>
      <c r="H125" s="36" t="n">
        <f>IFERROR(D125/VLOOKUP(A125,PRODUCTOS!$A$6:$D$35,4,FALSE),0)</f>
        <v>0</v>
      </c>
      <c r="I125" s="386"/>
      <c r="J125" s="3"/>
      <c r="K125" s="3"/>
      <c r="L125" s="3"/>
      <c r="M125" s="3"/>
    </row>
    <row r="126" ht="15.75" customHeight="1">
      <c r="A126" s="386"/>
      <c r="B126" s="26" t="str">
        <f>IFERROR(VLOOKUP(A126,PRODUCTOS!$A$6:$B$35,2,FALSE),"")</f>
      </c>
      <c r="C126" s="386"/>
      <c r="D126" s="386"/>
      <c r="E126" s="386"/>
      <c r="F126" s="33" t="n">
        <f>IFERROR(VLOOKUP(C126,'MATERIAS PRIMAS'!$B$5:$F$104,5,FALSE),0)</f>
        <v>0</v>
      </c>
      <c r="G126" s="33">
        <f t="shared" si="1"/>
        <v>0</v>
      </c>
      <c r="H126" s="36" t="n">
        <f>IFERROR(D126/VLOOKUP(A126,PRODUCTOS!$A$6:$D$35,4,FALSE),0)</f>
        <v>0</v>
      </c>
      <c r="I126" s="386"/>
      <c r="J126" s="3"/>
      <c r="K126" s="3"/>
      <c r="L126" s="3"/>
      <c r="M126" s="3"/>
    </row>
    <row r="127" ht="15.75" customHeight="1">
      <c r="A127" s="386"/>
      <c r="B127" s="26" t="str">
        <f>IFERROR(VLOOKUP(A127,PRODUCTOS!$A$6:$B$35,2,FALSE),"")</f>
      </c>
      <c r="C127" s="386"/>
      <c r="D127" s="386"/>
      <c r="E127" s="386"/>
      <c r="F127" s="33" t="n">
        <f>IFERROR(VLOOKUP(C127,'MATERIAS PRIMAS'!$B$5:$F$104,5,FALSE),0)</f>
        <v>0</v>
      </c>
      <c r="G127" s="33">
        <f t="shared" si="1"/>
        <v>0</v>
      </c>
      <c r="H127" s="36" t="n">
        <f>IFERROR(D127/VLOOKUP(A127,PRODUCTOS!$A$6:$D$35,4,FALSE),0)</f>
        <v>0</v>
      </c>
      <c r="I127" s="386"/>
      <c r="J127" s="3"/>
      <c r="K127" s="3"/>
      <c r="L127" s="3"/>
      <c r="M127" s="3"/>
    </row>
    <row r="128" ht="15.75" customHeight="1">
      <c r="A128" s="386"/>
      <c r="B128" s="26" t="str">
        <f>IFERROR(VLOOKUP(A128,PRODUCTOS!$A$6:$B$35,2,FALSE),"")</f>
      </c>
      <c r="C128" s="386"/>
      <c r="D128" s="386"/>
      <c r="E128" s="386"/>
      <c r="F128" s="33" t="n">
        <f>IFERROR(VLOOKUP(C128,'MATERIAS PRIMAS'!$B$5:$F$104,5,FALSE),0)</f>
        <v>0</v>
      </c>
      <c r="G128" s="33">
        <f t="shared" si="1"/>
        <v>0</v>
      </c>
      <c r="H128" s="36" t="n">
        <f>IFERROR(D128/VLOOKUP(A128,PRODUCTOS!$A$6:$D$35,4,FALSE),0)</f>
        <v>0</v>
      </c>
      <c r="I128" s="386"/>
      <c r="J128" s="3"/>
      <c r="K128" s="3"/>
      <c r="L128" s="3"/>
      <c r="M128" s="3"/>
    </row>
    <row r="129" ht="15.75" customHeight="1">
      <c r="A129" s="386"/>
      <c r="B129" s="26" t="str">
        <f>IFERROR(VLOOKUP(A129,PRODUCTOS!$A$6:$B$35,2,FALSE),"")</f>
      </c>
      <c r="C129" s="386"/>
      <c r="D129" s="386"/>
      <c r="E129" s="386"/>
      <c r="F129" s="33" t="n">
        <f>IFERROR(VLOOKUP(C129,'MATERIAS PRIMAS'!$B$5:$F$104,5,FALSE),0)</f>
        <v>0</v>
      </c>
      <c r="G129" s="33">
        <f t="shared" si="1"/>
        <v>0</v>
      </c>
      <c r="H129" s="36" t="n">
        <f>IFERROR(D129/VLOOKUP(A129,PRODUCTOS!$A$6:$D$35,4,FALSE),0)</f>
        <v>0</v>
      </c>
      <c r="I129" s="386"/>
      <c r="J129" s="3"/>
      <c r="K129" s="3"/>
      <c r="L129" s="3"/>
      <c r="M129" s="3"/>
    </row>
    <row r="130" ht="15.75" customHeight="1">
      <c r="A130" s="386"/>
      <c r="B130" s="26" t="str">
        <f>IFERROR(VLOOKUP(A130,PRODUCTOS!$A$6:$B$35,2,FALSE),"")</f>
      </c>
      <c r="C130" s="386"/>
      <c r="D130" s="386"/>
      <c r="E130" s="386"/>
      <c r="F130" s="33" t="n">
        <f>IFERROR(VLOOKUP(C130,'MATERIAS PRIMAS'!$B$5:$F$104,5,FALSE),0)</f>
        <v>0</v>
      </c>
      <c r="G130" s="33">
        <f t="shared" si="1"/>
        <v>0</v>
      </c>
      <c r="H130" s="36" t="n">
        <f>IFERROR(D130/VLOOKUP(A130,PRODUCTOS!$A$6:$D$35,4,FALSE),0)</f>
        <v>0</v>
      </c>
      <c r="I130" s="386"/>
      <c r="J130" s="3"/>
      <c r="K130" s="3"/>
      <c r="L130" s="3"/>
      <c r="M130" s="3"/>
    </row>
    <row r="131" ht="15.75" customHeight="1">
      <c r="A131" s="386"/>
      <c r="B131" s="26" t="str">
        <f>IFERROR(VLOOKUP(A131,PRODUCTOS!$A$6:$B$35,2,FALSE),"")</f>
      </c>
      <c r="C131" s="386"/>
      <c r="D131" s="386"/>
      <c r="E131" s="386"/>
      <c r="F131" s="33" t="n">
        <f>IFERROR(VLOOKUP(C131,'MATERIAS PRIMAS'!$B$5:$F$104,5,FALSE),0)</f>
        <v>0</v>
      </c>
      <c r="G131" s="33">
        <f t="shared" si="1"/>
        <v>0</v>
      </c>
      <c r="H131" s="36" t="n">
        <f>IFERROR(D131/VLOOKUP(A131,PRODUCTOS!$A$6:$D$35,4,FALSE),0)</f>
        <v>0</v>
      </c>
      <c r="I131" s="386"/>
      <c r="J131" s="3"/>
      <c r="K131" s="3"/>
      <c r="L131" s="3"/>
      <c r="M131" s="3"/>
    </row>
    <row r="132" ht="15.75" customHeight="1">
      <c r="A132" s="386"/>
      <c r="B132" s="26" t="str">
        <f>IFERROR(VLOOKUP(A132,PRODUCTOS!$A$6:$B$35,2,FALSE),"")</f>
      </c>
      <c r="C132" s="386"/>
      <c r="D132" s="386"/>
      <c r="E132" s="386"/>
      <c r="F132" s="33" t="n">
        <f>IFERROR(VLOOKUP(C132,'MATERIAS PRIMAS'!$B$5:$F$104,5,FALSE),0)</f>
        <v>0</v>
      </c>
      <c r="G132" s="33">
        <f t="shared" si="1"/>
        <v>0</v>
      </c>
      <c r="H132" s="36" t="n">
        <f>IFERROR(D132/VLOOKUP(A132,PRODUCTOS!$A$6:$D$35,4,FALSE),0)</f>
        <v>0</v>
      </c>
      <c r="I132" s="386"/>
      <c r="J132" s="3"/>
      <c r="K132" s="3"/>
      <c r="L132" s="3"/>
      <c r="M132" s="3"/>
    </row>
    <row r="133" ht="15.75" customHeight="1">
      <c r="A133" s="386"/>
      <c r="B133" s="26" t="str">
        <f>IFERROR(VLOOKUP(A133,PRODUCTOS!$A$6:$B$35,2,FALSE),"")</f>
      </c>
      <c r="C133" s="386"/>
      <c r="D133" s="386"/>
      <c r="E133" s="386"/>
      <c r="F133" s="33" t="n">
        <f>IFERROR(VLOOKUP(C133,'MATERIAS PRIMAS'!$B$5:$F$104,5,FALSE),0)</f>
        <v>0</v>
      </c>
      <c r="G133" s="33">
        <f t="shared" si="1"/>
        <v>0</v>
      </c>
      <c r="H133" s="36" t="n">
        <f>IFERROR(D133/VLOOKUP(A133,PRODUCTOS!$A$6:$D$35,4,FALSE),0)</f>
        <v>0</v>
      </c>
      <c r="I133" s="386"/>
      <c r="J133" s="3"/>
      <c r="K133" s="3"/>
      <c r="L133" s="3"/>
      <c r="M133" s="3"/>
    </row>
    <row r="134" ht="15.75" customHeight="1">
      <c r="A134" s="386"/>
      <c r="B134" s="26" t="str">
        <f>IFERROR(VLOOKUP(A134,PRODUCTOS!$A$6:$B$35,2,FALSE),"")</f>
      </c>
      <c r="C134" s="386"/>
      <c r="D134" s="386"/>
      <c r="E134" s="386"/>
      <c r="F134" s="33" t="n">
        <f>IFERROR(VLOOKUP(C134,'MATERIAS PRIMAS'!$B$5:$F$104,5,FALSE),0)</f>
        <v>0</v>
      </c>
      <c r="G134" s="33">
        <f t="shared" si="1"/>
        <v>0</v>
      </c>
      <c r="H134" s="36" t="n">
        <f>IFERROR(D134/VLOOKUP(A134,PRODUCTOS!$A$6:$D$35,4,FALSE),0)</f>
        <v>0</v>
      </c>
      <c r="I134" s="386"/>
      <c r="J134" s="3"/>
      <c r="K134" s="3"/>
      <c r="L134" s="3"/>
      <c r="M134" s="3"/>
    </row>
    <row r="135" ht="15.75" customHeight="1">
      <c r="A135" s="386"/>
      <c r="B135" s="26" t="str">
        <f>IFERROR(VLOOKUP(A135,PRODUCTOS!$A$6:$B$35,2,FALSE),"")</f>
      </c>
      <c r="C135" s="386"/>
      <c r="D135" s="386"/>
      <c r="E135" s="386"/>
      <c r="F135" s="33" t="n">
        <f>IFERROR(VLOOKUP(C135,'MATERIAS PRIMAS'!$B$5:$F$104,5,FALSE),0)</f>
        <v>0</v>
      </c>
      <c r="G135" s="33">
        <f t="shared" si="1"/>
        <v>0</v>
      </c>
      <c r="H135" s="36" t="n">
        <f>IFERROR(D135/VLOOKUP(A135,PRODUCTOS!$A$6:$D$35,4,FALSE),0)</f>
        <v>0</v>
      </c>
      <c r="I135" s="386"/>
      <c r="J135" s="3"/>
      <c r="K135" s="3"/>
      <c r="L135" s="3"/>
      <c r="M135" s="3"/>
    </row>
    <row r="136" ht="15.75" customHeight="1">
      <c r="A136" s="386"/>
      <c r="B136" s="26" t="str">
        <f>IFERROR(VLOOKUP(A136,PRODUCTOS!$A$6:$B$35,2,FALSE),"")</f>
      </c>
      <c r="C136" s="386"/>
      <c r="D136" s="386"/>
      <c r="E136" s="386"/>
      <c r="F136" s="33" t="n">
        <f>IFERROR(VLOOKUP(C136,'MATERIAS PRIMAS'!$B$5:$F$104,5,FALSE),0)</f>
        <v>0</v>
      </c>
      <c r="G136" s="33">
        <f t="shared" si="1"/>
        <v>0</v>
      </c>
      <c r="H136" s="36" t="n">
        <f>IFERROR(D136/VLOOKUP(A136,PRODUCTOS!$A$6:$D$35,4,FALSE),0)</f>
        <v>0</v>
      </c>
      <c r="I136" s="386"/>
      <c r="J136" s="3"/>
      <c r="K136" s="3"/>
      <c r="L136" s="3"/>
      <c r="M136" s="3"/>
    </row>
    <row r="137" ht="15.75" customHeight="1">
      <c r="A137" s="386"/>
      <c r="B137" s="26" t="str">
        <f>IFERROR(VLOOKUP(A137,PRODUCTOS!$A$6:$B$35,2,FALSE),"")</f>
      </c>
      <c r="C137" s="386"/>
      <c r="D137" s="386"/>
      <c r="E137" s="386"/>
      <c r="F137" s="33" t="n">
        <f>IFERROR(VLOOKUP(C137,'MATERIAS PRIMAS'!$B$5:$F$104,5,FALSE),0)</f>
        <v>0</v>
      </c>
      <c r="G137" s="33">
        <f t="shared" si="1"/>
        <v>0</v>
      </c>
      <c r="H137" s="36" t="n">
        <f>IFERROR(D137/VLOOKUP(A137,PRODUCTOS!$A$6:$D$35,4,FALSE),0)</f>
        <v>0</v>
      </c>
      <c r="I137" s="386"/>
      <c r="J137" s="3"/>
      <c r="K137" s="3"/>
      <c r="L137" s="3"/>
      <c r="M137" s="3"/>
    </row>
    <row r="138" ht="15.75" customHeight="1">
      <c r="A138" s="386"/>
      <c r="B138" s="26" t="str">
        <f>IFERROR(VLOOKUP(A138,PRODUCTOS!$A$6:$B$35,2,FALSE),"")</f>
      </c>
      <c r="C138" s="386"/>
      <c r="D138" s="386"/>
      <c r="E138" s="386"/>
      <c r="F138" s="33" t="n">
        <f>IFERROR(VLOOKUP(C138,'MATERIAS PRIMAS'!$B$5:$F$104,5,FALSE),0)</f>
        <v>0</v>
      </c>
      <c r="G138" s="33">
        <f t="shared" si="1"/>
        <v>0</v>
      </c>
      <c r="H138" s="36" t="n">
        <f>IFERROR(D138/VLOOKUP(A138,PRODUCTOS!$A$6:$D$35,4,FALSE),0)</f>
        <v>0</v>
      </c>
      <c r="I138" s="386"/>
      <c r="J138" s="3"/>
      <c r="K138" s="3"/>
      <c r="L138" s="3"/>
      <c r="M138" s="3"/>
    </row>
    <row r="139" ht="15.75" customHeight="1">
      <c r="A139" s="386"/>
      <c r="B139" s="26" t="str">
        <f>IFERROR(VLOOKUP(A139,PRODUCTOS!$A$6:$B$35,2,FALSE),"")</f>
      </c>
      <c r="C139" s="386"/>
      <c r="D139" s="386"/>
      <c r="E139" s="386"/>
      <c r="F139" s="33" t="n">
        <f>IFERROR(VLOOKUP(C139,'MATERIAS PRIMAS'!$B$5:$F$104,5,FALSE),0)</f>
        <v>0</v>
      </c>
      <c r="G139" s="33">
        <f t="shared" si="1"/>
        <v>0</v>
      </c>
      <c r="H139" s="36" t="n">
        <f>IFERROR(D139/VLOOKUP(A139,PRODUCTOS!$A$6:$D$35,4,FALSE),0)</f>
        <v>0</v>
      </c>
      <c r="I139" s="386"/>
      <c r="J139" s="3"/>
      <c r="K139" s="3"/>
      <c r="L139" s="3"/>
      <c r="M139" s="3"/>
    </row>
    <row r="140" ht="15.75" customHeight="1">
      <c r="A140" s="386"/>
      <c r="B140" s="26" t="str">
        <f>IFERROR(VLOOKUP(A140,PRODUCTOS!$A$6:$B$35,2,FALSE),"")</f>
      </c>
      <c r="C140" s="386"/>
      <c r="D140" s="386"/>
      <c r="E140" s="386"/>
      <c r="F140" s="33" t="n">
        <f>IFERROR(VLOOKUP(C140,'MATERIAS PRIMAS'!$B$5:$F$104,5,FALSE),0)</f>
        <v>0</v>
      </c>
      <c r="G140" s="33">
        <f t="shared" si="1"/>
        <v>0</v>
      </c>
      <c r="H140" s="36" t="n">
        <f>IFERROR(D140/VLOOKUP(A140,PRODUCTOS!$A$6:$D$35,4,FALSE),0)</f>
        <v>0</v>
      </c>
      <c r="I140" s="386"/>
      <c r="J140" s="3"/>
      <c r="K140" s="3"/>
      <c r="L140" s="3"/>
      <c r="M140" s="3"/>
    </row>
    <row r="141" ht="15.75" customHeight="1">
      <c r="A141" s="386"/>
      <c r="B141" s="26" t="str">
        <f>IFERROR(VLOOKUP(A141,PRODUCTOS!$A$6:$B$35,2,FALSE),"")</f>
      </c>
      <c r="C141" s="386"/>
      <c r="D141" s="386"/>
      <c r="E141" s="386"/>
      <c r="F141" s="33" t="n">
        <f>IFERROR(VLOOKUP(C141,'MATERIAS PRIMAS'!$B$5:$F$104,5,FALSE),0)</f>
        <v>0</v>
      </c>
      <c r="G141" s="33">
        <f t="shared" si="1"/>
        <v>0</v>
      </c>
      <c r="H141" s="36" t="n">
        <f>IFERROR(D141/VLOOKUP(A141,PRODUCTOS!$A$6:$D$35,4,FALSE),0)</f>
        <v>0</v>
      </c>
      <c r="I141" s="386"/>
      <c r="J141" s="3"/>
      <c r="K141" s="3"/>
      <c r="L141" s="3"/>
      <c r="M141" s="3"/>
    </row>
    <row r="142" ht="15.75" customHeight="1">
      <c r="A142" s="386"/>
      <c r="B142" s="26" t="str">
        <f>IFERROR(VLOOKUP(A142,PRODUCTOS!$A$6:$B$35,2,FALSE),"")</f>
      </c>
      <c r="C142" s="386"/>
      <c r="D142" s="386"/>
      <c r="E142" s="386"/>
      <c r="F142" s="33" t="n">
        <f>IFERROR(VLOOKUP(C142,'MATERIAS PRIMAS'!$B$5:$F$104,5,FALSE),0)</f>
        <v>0</v>
      </c>
      <c r="G142" s="33">
        <f t="shared" si="1"/>
        <v>0</v>
      </c>
      <c r="H142" s="36" t="n">
        <f>IFERROR(D142/VLOOKUP(A142,PRODUCTOS!$A$6:$D$35,4,FALSE),0)</f>
        <v>0</v>
      </c>
      <c r="I142" s="386"/>
      <c r="J142" s="3"/>
      <c r="K142" s="3"/>
      <c r="L142" s="3"/>
      <c r="M142" s="3"/>
    </row>
    <row r="143" ht="15.75" customHeight="1">
      <c r="A143" s="386"/>
      <c r="B143" s="26" t="str">
        <f>IFERROR(VLOOKUP(A143,PRODUCTOS!$A$6:$B$35,2,FALSE),"")</f>
      </c>
      <c r="C143" s="386"/>
      <c r="D143" s="386"/>
      <c r="E143" s="386"/>
      <c r="F143" s="33" t="n">
        <f>IFERROR(VLOOKUP(C143,'MATERIAS PRIMAS'!$B$5:$F$104,5,FALSE),0)</f>
        <v>0</v>
      </c>
      <c r="G143" s="33">
        <f t="shared" si="1"/>
        <v>0</v>
      </c>
      <c r="H143" s="36" t="n">
        <f>IFERROR(D143/VLOOKUP(A143,PRODUCTOS!$A$6:$D$35,4,FALSE),0)</f>
        <v>0</v>
      </c>
      <c r="I143" s="386"/>
      <c r="J143" s="3"/>
      <c r="K143" s="3"/>
      <c r="L143" s="3"/>
      <c r="M143" s="3"/>
    </row>
    <row r="144" ht="15.75" customHeight="1">
      <c r="A144" s="386"/>
      <c r="B144" s="26" t="str">
        <f>IFERROR(VLOOKUP(A144,PRODUCTOS!$A$6:$B$35,2,FALSE),"")</f>
      </c>
      <c r="C144" s="386"/>
      <c r="D144" s="386"/>
      <c r="E144" s="386"/>
      <c r="F144" s="33" t="n">
        <f>IFERROR(VLOOKUP(C144,'MATERIAS PRIMAS'!$B$5:$F$104,5,FALSE),0)</f>
        <v>0</v>
      </c>
      <c r="G144" s="33">
        <f t="shared" si="1"/>
        <v>0</v>
      </c>
      <c r="H144" s="36" t="n">
        <f>IFERROR(D144/VLOOKUP(A144,PRODUCTOS!$A$6:$D$35,4,FALSE),0)</f>
        <v>0</v>
      </c>
      <c r="I144" s="386"/>
      <c r="J144" s="3"/>
      <c r="K144" s="3"/>
      <c r="L144" s="3"/>
      <c r="M144" s="3"/>
    </row>
    <row r="145" ht="15.75" customHeight="1">
      <c r="A145" s="386"/>
      <c r="B145" s="26" t="str">
        <f>IFERROR(VLOOKUP(A145,PRODUCTOS!$A$6:$B$35,2,FALSE),"")</f>
      </c>
      <c r="C145" s="386"/>
      <c r="D145" s="386"/>
      <c r="E145" s="386"/>
      <c r="F145" s="33" t="n">
        <f>IFERROR(VLOOKUP(C145,'MATERIAS PRIMAS'!$B$5:$F$104,5,FALSE),0)</f>
        <v>0</v>
      </c>
      <c r="G145" s="33">
        <f t="shared" si="1"/>
        <v>0</v>
      </c>
      <c r="H145" s="36" t="n">
        <f>IFERROR(D145/VLOOKUP(A145,PRODUCTOS!$A$6:$D$35,4,FALSE),0)</f>
        <v>0</v>
      </c>
      <c r="I145" s="386"/>
      <c r="J145" s="3"/>
      <c r="K145" s="3"/>
      <c r="L145" s="3"/>
      <c r="M145" s="3"/>
    </row>
    <row r="146" ht="15.75" customHeight="1">
      <c r="A146" s="386"/>
      <c r="B146" s="26" t="str">
        <f>IFERROR(VLOOKUP(A146,PRODUCTOS!$A$6:$B$35,2,FALSE),"")</f>
      </c>
      <c r="C146" s="386"/>
      <c r="D146" s="386"/>
      <c r="E146" s="386"/>
      <c r="F146" s="33" t="n">
        <f>IFERROR(VLOOKUP(C146,'MATERIAS PRIMAS'!$B$5:$F$104,5,FALSE),0)</f>
        <v>0</v>
      </c>
      <c r="G146" s="33">
        <f t="shared" si="1"/>
        <v>0</v>
      </c>
      <c r="H146" s="36" t="n">
        <f>IFERROR(D146/VLOOKUP(A146,PRODUCTOS!$A$6:$D$35,4,FALSE),0)</f>
        <v>0</v>
      </c>
      <c r="I146" s="386"/>
      <c r="J146" s="3"/>
      <c r="K146" s="3"/>
      <c r="L146" s="3"/>
      <c r="M146" s="3"/>
    </row>
    <row r="147" ht="15.75" customHeight="1">
      <c r="A147" s="386"/>
      <c r="B147" s="26" t="str">
        <f>IFERROR(VLOOKUP(A147,PRODUCTOS!$A$6:$B$35,2,FALSE),"")</f>
      </c>
      <c r="C147" s="386"/>
      <c r="D147" s="386"/>
      <c r="E147" s="386"/>
      <c r="F147" s="33" t="n">
        <f>IFERROR(VLOOKUP(C147,'MATERIAS PRIMAS'!$B$5:$F$104,5,FALSE),0)</f>
        <v>0</v>
      </c>
      <c r="G147" s="33">
        <f t="shared" si="1"/>
        <v>0</v>
      </c>
      <c r="H147" s="36" t="n">
        <f>IFERROR(D147/VLOOKUP(A147,PRODUCTOS!$A$6:$D$35,4,FALSE),0)</f>
        <v>0</v>
      </c>
      <c r="I147" s="386"/>
      <c r="J147" s="3"/>
      <c r="K147" s="3"/>
      <c r="L147" s="3"/>
      <c r="M147" s="3"/>
    </row>
    <row r="148" ht="15.75" customHeight="1">
      <c r="A148" s="386"/>
      <c r="B148" s="26" t="str">
        <f>IFERROR(VLOOKUP(A148,PRODUCTOS!$A$6:$B$35,2,FALSE),"")</f>
      </c>
      <c r="C148" s="386"/>
      <c r="D148" s="386"/>
      <c r="E148" s="386"/>
      <c r="F148" s="33" t="n">
        <f>IFERROR(VLOOKUP(C148,'MATERIAS PRIMAS'!$B$5:$F$104,5,FALSE),0)</f>
        <v>0</v>
      </c>
      <c r="G148" s="33">
        <f t="shared" si="1"/>
        <v>0</v>
      </c>
      <c r="H148" s="36" t="n">
        <f>IFERROR(D148/VLOOKUP(A148,PRODUCTOS!$A$6:$D$35,4,FALSE),0)</f>
        <v>0</v>
      </c>
      <c r="I148" s="386"/>
      <c r="J148" s="3"/>
      <c r="K148" s="3"/>
      <c r="L148" s="3"/>
      <c r="M148" s="3"/>
    </row>
    <row r="149" ht="15.75" customHeight="1">
      <c r="A149" s="386"/>
      <c r="B149" s="26" t="str">
        <f>IFERROR(VLOOKUP(A149,PRODUCTOS!$A$6:$B$35,2,FALSE),"")</f>
      </c>
      <c r="C149" s="386"/>
      <c r="D149" s="386"/>
      <c r="E149" s="386"/>
      <c r="F149" s="33" t="n">
        <f>IFERROR(VLOOKUP(C149,'MATERIAS PRIMAS'!$B$5:$F$104,5,FALSE),0)</f>
        <v>0</v>
      </c>
      <c r="G149" s="33">
        <f t="shared" si="1"/>
        <v>0</v>
      </c>
      <c r="H149" s="36" t="n">
        <f>IFERROR(D149/VLOOKUP(A149,PRODUCTOS!$A$6:$D$35,4,FALSE),0)</f>
        <v>0</v>
      </c>
      <c r="I149" s="386"/>
      <c r="J149" s="3"/>
      <c r="K149" s="3"/>
      <c r="L149" s="3"/>
      <c r="M149" s="3"/>
    </row>
    <row r="150" ht="15.75" customHeight="1">
      <c r="A150" s="386"/>
      <c r="B150" s="26" t="str">
        <f>IFERROR(VLOOKUP(A150,PRODUCTOS!$A$6:$B$35,2,FALSE),"")</f>
      </c>
      <c r="C150" s="386"/>
      <c r="D150" s="386"/>
      <c r="E150" s="386"/>
      <c r="F150" s="33" t="n">
        <f>IFERROR(VLOOKUP(C150,'MATERIAS PRIMAS'!$B$5:$F$104,5,FALSE),0)</f>
        <v>0</v>
      </c>
      <c r="G150" s="33">
        <f t="shared" si="1"/>
        <v>0</v>
      </c>
      <c r="H150" s="36" t="n">
        <f>IFERROR(D150/VLOOKUP(A150,PRODUCTOS!$A$6:$D$35,4,FALSE),0)</f>
        <v>0</v>
      </c>
      <c r="I150" s="386"/>
      <c r="J150" s="3"/>
      <c r="K150" s="3"/>
      <c r="L150" s="3"/>
      <c r="M150" s="3"/>
    </row>
    <row r="151" ht="15.75" customHeight="1">
      <c r="A151" s="386"/>
      <c r="B151" s="26" t="str">
        <f>IFERROR(VLOOKUP(A151,PRODUCTOS!$A$6:$B$35,2,FALSE),"")</f>
      </c>
      <c r="C151" s="386"/>
      <c r="D151" s="386"/>
      <c r="E151" s="386"/>
      <c r="F151" s="33" t="n">
        <f>IFERROR(VLOOKUP(C151,'MATERIAS PRIMAS'!$B$5:$F$104,5,FALSE),0)</f>
        <v>0</v>
      </c>
      <c r="G151" s="33">
        <f t="shared" si="1"/>
        <v>0</v>
      </c>
      <c r="H151" s="36" t="n">
        <f>IFERROR(D151/VLOOKUP(A151,PRODUCTOS!$A$6:$D$35,4,FALSE),0)</f>
        <v>0</v>
      </c>
      <c r="I151" s="386"/>
      <c r="J151" s="3"/>
      <c r="K151" s="3"/>
      <c r="L151" s="3"/>
      <c r="M151" s="3"/>
    </row>
    <row r="152" ht="15.75" customHeight="1">
      <c r="A152" s="386"/>
      <c r="B152" s="26" t="str">
        <f>IFERROR(VLOOKUP(A152,PRODUCTOS!$A$6:$B$35,2,FALSE),"")</f>
      </c>
      <c r="C152" s="386"/>
      <c r="D152" s="386"/>
      <c r="E152" s="386"/>
      <c r="F152" s="33" t="n">
        <f>IFERROR(VLOOKUP(C152,'MATERIAS PRIMAS'!$B$5:$F$104,5,FALSE),0)</f>
        <v>0</v>
      </c>
      <c r="G152" s="33">
        <f t="shared" si="1"/>
        <v>0</v>
      </c>
      <c r="H152" s="36" t="n">
        <f>IFERROR(D152/VLOOKUP(A152,PRODUCTOS!$A$6:$D$35,4,FALSE),0)</f>
        <v>0</v>
      </c>
      <c r="I152" s="386"/>
      <c r="J152" s="3"/>
      <c r="K152" s="3"/>
      <c r="L152" s="3"/>
      <c r="M152" s="3"/>
    </row>
    <row r="153" ht="15.75" customHeight="1">
      <c r="A153" s="386"/>
      <c r="B153" s="26" t="str">
        <f>IFERROR(VLOOKUP(A153,PRODUCTOS!$A$6:$B$35,2,FALSE),"")</f>
      </c>
      <c r="C153" s="386"/>
      <c r="D153" s="386"/>
      <c r="E153" s="386"/>
      <c r="F153" s="33" t="n">
        <f>IFERROR(VLOOKUP(C153,'MATERIAS PRIMAS'!$B$5:$F$104,5,FALSE),0)</f>
        <v>0</v>
      </c>
      <c r="G153" s="33">
        <f t="shared" si="1"/>
        <v>0</v>
      </c>
      <c r="H153" s="36" t="n">
        <f>IFERROR(D153/VLOOKUP(A153,PRODUCTOS!$A$6:$D$35,4,FALSE),0)</f>
        <v>0</v>
      </c>
      <c r="I153" s="386"/>
      <c r="J153" s="3"/>
      <c r="K153" s="3"/>
      <c r="L153" s="3"/>
      <c r="M153" s="3"/>
    </row>
    <row r="154" ht="15.75" customHeight="1">
      <c r="A154" s="386"/>
      <c r="B154" s="26" t="str">
        <f>IFERROR(VLOOKUP(A154,PRODUCTOS!$A$6:$B$35,2,FALSE),"")</f>
      </c>
      <c r="C154" s="386"/>
      <c r="D154" s="386"/>
      <c r="E154" s="386"/>
      <c r="F154" s="33" t="n">
        <f>IFERROR(VLOOKUP(C154,'MATERIAS PRIMAS'!$B$5:$F$104,5,FALSE),0)</f>
        <v>0</v>
      </c>
      <c r="G154" s="33">
        <f t="shared" si="1"/>
        <v>0</v>
      </c>
      <c r="H154" s="36" t="n">
        <f>IFERROR(D154/VLOOKUP(A154,PRODUCTOS!$A$6:$D$35,4,FALSE),0)</f>
        <v>0</v>
      </c>
      <c r="I154" s="386"/>
      <c r="J154" s="3"/>
      <c r="K154" s="3"/>
      <c r="L154" s="3"/>
      <c r="M154" s="3"/>
    </row>
    <row r="155" ht="15.75" customHeight="1">
      <c r="A155" s="386"/>
      <c r="B155" s="26" t="str">
        <f>IFERROR(VLOOKUP(A155,PRODUCTOS!$A$6:$B$35,2,FALSE),"")</f>
      </c>
      <c r="C155" s="386"/>
      <c r="D155" s="386"/>
      <c r="E155" s="386"/>
      <c r="F155" s="33" t="n">
        <f>IFERROR(VLOOKUP(C155,'MATERIAS PRIMAS'!$B$5:$F$104,5,FALSE),0)</f>
        <v>0</v>
      </c>
      <c r="G155" s="33">
        <f t="shared" si="1"/>
        <v>0</v>
      </c>
      <c r="H155" s="36" t="n">
        <f>IFERROR(D155/VLOOKUP(A155,PRODUCTOS!$A$6:$D$35,4,FALSE),0)</f>
        <v>0</v>
      </c>
      <c r="I155" s="386"/>
      <c r="J155" s="3"/>
      <c r="K155" s="3"/>
      <c r="L155" s="3"/>
      <c r="M155" s="3"/>
    </row>
    <row r="156" ht="15.75" customHeight="1">
      <c r="A156" s="386"/>
      <c r="B156" s="26" t="str">
        <f>IFERROR(VLOOKUP(A156,PRODUCTOS!$A$6:$B$35,2,FALSE),"")</f>
      </c>
      <c r="C156" s="386"/>
      <c r="D156" s="386"/>
      <c r="E156" s="386"/>
      <c r="F156" s="33" t="n">
        <f>IFERROR(VLOOKUP(C156,'MATERIAS PRIMAS'!$B$5:$F$104,5,FALSE),0)</f>
        <v>0</v>
      </c>
      <c r="G156" s="33">
        <f t="shared" si="1"/>
        <v>0</v>
      </c>
      <c r="H156" s="36" t="n">
        <f>IFERROR(D156/VLOOKUP(A156,PRODUCTOS!$A$6:$D$35,4,FALSE),0)</f>
        <v>0</v>
      </c>
      <c r="I156" s="386"/>
      <c r="J156" s="3"/>
      <c r="K156" s="3"/>
      <c r="L156" s="3"/>
      <c r="M156" s="3"/>
    </row>
    <row r="157" ht="15.75" customHeight="1">
      <c r="A157" s="386"/>
      <c r="B157" s="26" t="str">
        <f>IFERROR(VLOOKUP(A157,PRODUCTOS!$A$6:$B$35,2,FALSE),"")</f>
      </c>
      <c r="C157" s="386"/>
      <c r="D157" s="386"/>
      <c r="E157" s="386"/>
      <c r="F157" s="33" t="n">
        <f>IFERROR(VLOOKUP(C157,'MATERIAS PRIMAS'!$B$5:$F$104,5,FALSE),0)</f>
        <v>0</v>
      </c>
      <c r="G157" s="33">
        <f t="shared" si="1"/>
        <v>0</v>
      </c>
      <c r="H157" s="36" t="n">
        <f>IFERROR(D157/VLOOKUP(A157,PRODUCTOS!$A$6:$D$35,4,FALSE),0)</f>
        <v>0</v>
      </c>
      <c r="I157" s="386"/>
      <c r="J157" s="3"/>
      <c r="K157" s="3"/>
      <c r="L157" s="3"/>
      <c r="M157" s="3"/>
    </row>
    <row r="158" ht="15.75" customHeight="1">
      <c r="A158" s="386"/>
      <c r="B158" s="26" t="str">
        <f>IFERROR(VLOOKUP(A158,PRODUCTOS!$A$6:$B$35,2,FALSE),"")</f>
      </c>
      <c r="C158" s="386"/>
      <c r="D158" s="386"/>
      <c r="E158" s="386"/>
      <c r="F158" s="33" t="n">
        <f>IFERROR(VLOOKUP(C158,'MATERIAS PRIMAS'!$B$5:$F$104,5,FALSE),0)</f>
        <v>0</v>
      </c>
      <c r="G158" s="33">
        <f t="shared" si="1"/>
        <v>0</v>
      </c>
      <c r="H158" s="36" t="n">
        <f>IFERROR(D158/VLOOKUP(A158,PRODUCTOS!$A$6:$D$35,4,FALSE),0)</f>
        <v>0</v>
      </c>
      <c r="I158" s="386"/>
      <c r="J158" s="3"/>
      <c r="K158" s="3"/>
      <c r="L158" s="3"/>
      <c r="M158" s="3"/>
    </row>
    <row r="159" ht="15.75" customHeight="1">
      <c r="A159" s="386"/>
      <c r="B159" s="26" t="str">
        <f>IFERROR(VLOOKUP(A159,PRODUCTOS!$A$6:$B$35,2,FALSE),"")</f>
      </c>
      <c r="C159" s="386"/>
      <c r="D159" s="386"/>
      <c r="E159" s="386"/>
      <c r="F159" s="33" t="n">
        <f>IFERROR(VLOOKUP(C159,'MATERIAS PRIMAS'!$B$5:$F$104,5,FALSE),0)</f>
        <v>0</v>
      </c>
      <c r="G159" s="33">
        <f t="shared" si="1"/>
        <v>0</v>
      </c>
      <c r="H159" s="36" t="n">
        <f>IFERROR(D159/VLOOKUP(A159,PRODUCTOS!$A$6:$D$35,4,FALSE),0)</f>
        <v>0</v>
      </c>
      <c r="I159" s="386"/>
      <c r="J159" s="3"/>
      <c r="K159" s="3"/>
      <c r="L159" s="3"/>
      <c r="M159" s="3"/>
    </row>
    <row r="160" ht="15.75" customHeight="1">
      <c r="A160" s="386"/>
      <c r="B160" s="26" t="str">
        <f>IFERROR(VLOOKUP(A160,PRODUCTOS!$A$6:$B$35,2,FALSE),"")</f>
      </c>
      <c r="C160" s="386"/>
      <c r="D160" s="386"/>
      <c r="E160" s="386"/>
      <c r="F160" s="33" t="n">
        <f>IFERROR(VLOOKUP(C160,'MATERIAS PRIMAS'!$B$5:$F$104,5,FALSE),0)</f>
        <v>0</v>
      </c>
      <c r="G160" s="33">
        <f t="shared" si="1"/>
        <v>0</v>
      </c>
      <c r="H160" s="36" t="n">
        <f>IFERROR(D160/VLOOKUP(A160,PRODUCTOS!$A$6:$D$35,4,FALSE),0)</f>
        <v>0</v>
      </c>
      <c r="I160" s="386"/>
      <c r="J160" s="3"/>
      <c r="K160" s="3"/>
      <c r="L160" s="3"/>
      <c r="M160" s="3"/>
    </row>
    <row r="161" ht="15.75" customHeight="1">
      <c r="A161" s="386"/>
      <c r="B161" s="26" t="str">
        <f>IFERROR(VLOOKUP(A161,PRODUCTOS!$A$6:$B$35,2,FALSE),"")</f>
      </c>
      <c r="C161" s="386"/>
      <c r="D161" s="386"/>
      <c r="E161" s="386"/>
      <c r="F161" s="33" t="n">
        <f>IFERROR(VLOOKUP(C161,'MATERIAS PRIMAS'!$B$5:$F$104,5,FALSE),0)</f>
        <v>0</v>
      </c>
      <c r="G161" s="33">
        <f t="shared" si="1"/>
        <v>0</v>
      </c>
      <c r="H161" s="36" t="n">
        <f>IFERROR(D161/VLOOKUP(A161,PRODUCTOS!$A$6:$D$35,4,FALSE),0)</f>
        <v>0</v>
      </c>
      <c r="I161" s="386"/>
      <c r="J161" s="3"/>
      <c r="K161" s="3"/>
      <c r="L161" s="3"/>
      <c r="M161" s="3"/>
    </row>
    <row r="162" ht="15.75" customHeight="1">
      <c r="A162" s="386"/>
      <c r="B162" s="26" t="str">
        <f>IFERROR(VLOOKUP(A162,PRODUCTOS!$A$6:$B$35,2,FALSE),"")</f>
      </c>
      <c r="C162" s="386"/>
      <c r="D162" s="386"/>
      <c r="E162" s="386"/>
      <c r="F162" s="33" t="n">
        <f>IFERROR(VLOOKUP(C162,'MATERIAS PRIMAS'!$B$5:$F$104,5,FALSE),0)</f>
        <v>0</v>
      </c>
      <c r="G162" s="33">
        <f t="shared" si="1"/>
        <v>0</v>
      </c>
      <c r="H162" s="36" t="n">
        <f>IFERROR(D162/VLOOKUP(A162,PRODUCTOS!$A$6:$D$35,4,FALSE),0)</f>
        <v>0</v>
      </c>
      <c r="I162" s="386"/>
      <c r="J162" s="3"/>
      <c r="K162" s="3"/>
      <c r="L162" s="3"/>
      <c r="M162" s="3"/>
    </row>
    <row r="163" ht="15.75" customHeight="1">
      <c r="A163" s="386"/>
      <c r="B163" s="26" t="str">
        <f>IFERROR(VLOOKUP(A163,PRODUCTOS!$A$6:$B$35,2,FALSE),"")</f>
      </c>
      <c r="C163" s="386"/>
      <c r="D163" s="386"/>
      <c r="E163" s="386"/>
      <c r="F163" s="33" t="n">
        <f>IFERROR(VLOOKUP(C163,'MATERIAS PRIMAS'!$B$5:$F$104,5,FALSE),0)</f>
        <v>0</v>
      </c>
      <c r="G163" s="33">
        <f t="shared" si="1"/>
        <v>0</v>
      </c>
      <c r="H163" s="36" t="n">
        <f>IFERROR(D163/VLOOKUP(A163,PRODUCTOS!$A$6:$D$35,4,FALSE),0)</f>
        <v>0</v>
      </c>
      <c r="I163" s="386"/>
      <c r="J163" s="3"/>
      <c r="K163" s="3"/>
      <c r="L163" s="3"/>
      <c r="M163" s="3"/>
    </row>
    <row r="164" ht="15.75" customHeight="1">
      <c r="A164" s="386"/>
      <c r="B164" s="26" t="str">
        <f>IFERROR(VLOOKUP(A164,PRODUCTOS!$A$6:$B$35,2,FALSE),"")</f>
      </c>
      <c r="C164" s="386"/>
      <c r="D164" s="386"/>
      <c r="E164" s="386"/>
      <c r="F164" s="33" t="n">
        <f>IFERROR(VLOOKUP(C164,'MATERIAS PRIMAS'!$B$5:$F$104,5,FALSE),0)</f>
        <v>0</v>
      </c>
      <c r="G164" s="33">
        <f t="shared" si="1"/>
        <v>0</v>
      </c>
      <c r="H164" s="36" t="n">
        <f>IFERROR(D164/VLOOKUP(A164,PRODUCTOS!$A$6:$D$35,4,FALSE),0)</f>
        <v>0</v>
      </c>
      <c r="I164" s="386"/>
      <c r="J164" s="3"/>
      <c r="K164" s="3"/>
      <c r="L164" s="3"/>
      <c r="M164" s="3"/>
    </row>
    <row r="165" ht="15.75" customHeight="1">
      <c r="A165" s="386"/>
      <c r="B165" s="26" t="str">
        <f>IFERROR(VLOOKUP(A165,PRODUCTOS!$A$6:$B$35,2,FALSE),"")</f>
      </c>
      <c r="C165" s="386"/>
      <c r="D165" s="386"/>
      <c r="E165" s="386"/>
      <c r="F165" s="33" t="n">
        <f>IFERROR(VLOOKUP(C165,'MATERIAS PRIMAS'!$B$5:$F$104,5,FALSE),0)</f>
        <v>0</v>
      </c>
      <c r="G165" s="33">
        <f t="shared" si="1"/>
        <v>0</v>
      </c>
      <c r="H165" s="36" t="n">
        <f>IFERROR(D165/VLOOKUP(A165,PRODUCTOS!$A$6:$D$35,4,FALSE),0)</f>
        <v>0</v>
      </c>
      <c r="I165" s="386"/>
      <c r="J165" s="3"/>
      <c r="K165" s="3"/>
      <c r="L165" s="3"/>
      <c r="M165" s="3"/>
    </row>
    <row r="166" ht="15.75" customHeight="1">
      <c r="A166" s="386"/>
      <c r="B166" s="26" t="str">
        <f>IFERROR(VLOOKUP(A166,PRODUCTOS!$A$6:$B$35,2,FALSE),"")</f>
      </c>
      <c r="C166" s="386"/>
      <c r="D166" s="386"/>
      <c r="E166" s="386"/>
      <c r="F166" s="33" t="n">
        <f>IFERROR(VLOOKUP(C166,'MATERIAS PRIMAS'!$B$5:$F$104,5,FALSE),0)</f>
        <v>0</v>
      </c>
      <c r="G166" s="33">
        <f t="shared" si="1"/>
        <v>0</v>
      </c>
      <c r="H166" s="36" t="n">
        <f>IFERROR(D166/VLOOKUP(A166,PRODUCTOS!$A$6:$D$35,4,FALSE),0)</f>
        <v>0</v>
      </c>
      <c r="I166" s="386"/>
      <c r="J166" s="3"/>
      <c r="K166" s="3"/>
      <c r="L166" s="3"/>
      <c r="M166" s="3"/>
    </row>
    <row r="167" ht="15.75" customHeight="1">
      <c r="A167" s="386"/>
      <c r="B167" s="26" t="str">
        <f>IFERROR(VLOOKUP(A167,PRODUCTOS!$A$6:$B$35,2,FALSE),"")</f>
      </c>
      <c r="C167" s="386"/>
      <c r="D167" s="386"/>
      <c r="E167" s="386"/>
      <c r="F167" s="33" t="n">
        <f>IFERROR(VLOOKUP(C167,'MATERIAS PRIMAS'!$B$5:$F$104,5,FALSE),0)</f>
        <v>0</v>
      </c>
      <c r="G167" s="33">
        <f t="shared" si="1"/>
        <v>0</v>
      </c>
      <c r="H167" s="36" t="n">
        <f>IFERROR(D167/VLOOKUP(A167,PRODUCTOS!$A$6:$D$35,4,FALSE),0)</f>
        <v>0</v>
      </c>
      <c r="I167" s="386"/>
      <c r="J167" s="3"/>
      <c r="K167" s="3"/>
      <c r="L167" s="3"/>
      <c r="M167" s="3"/>
    </row>
    <row r="168" ht="15.75" customHeight="1">
      <c r="A168" s="386"/>
      <c r="B168" s="26" t="str">
        <f>IFERROR(VLOOKUP(A168,PRODUCTOS!$A$6:$B$35,2,FALSE),"")</f>
      </c>
      <c r="C168" s="386"/>
      <c r="D168" s="386"/>
      <c r="E168" s="386"/>
      <c r="F168" s="33" t="n">
        <f>IFERROR(VLOOKUP(C168,'MATERIAS PRIMAS'!$B$5:$F$104,5,FALSE),0)</f>
        <v>0</v>
      </c>
      <c r="G168" s="33">
        <f t="shared" si="1"/>
        <v>0</v>
      </c>
      <c r="H168" s="36" t="n">
        <f>IFERROR(D168/VLOOKUP(A168,PRODUCTOS!$A$6:$D$35,4,FALSE),0)</f>
        <v>0</v>
      </c>
      <c r="I168" s="386"/>
      <c r="J168" s="3"/>
      <c r="K168" s="3"/>
      <c r="L168" s="3"/>
      <c r="M168" s="3"/>
    </row>
    <row r="169" ht="15.75" customHeight="1">
      <c r="A169" s="386"/>
      <c r="B169" s="26" t="str">
        <f>IFERROR(VLOOKUP(A169,PRODUCTOS!$A$6:$B$35,2,FALSE),"")</f>
      </c>
      <c r="C169" s="386"/>
      <c r="D169" s="386"/>
      <c r="E169" s="386"/>
      <c r="F169" s="33" t="n">
        <f>IFERROR(VLOOKUP(C169,'MATERIAS PRIMAS'!$B$5:$F$104,5,FALSE),0)</f>
        <v>0</v>
      </c>
      <c r="G169" s="33">
        <f t="shared" si="1"/>
        <v>0</v>
      </c>
      <c r="H169" s="36" t="n">
        <f>IFERROR(D169/VLOOKUP(A169,PRODUCTOS!$A$6:$D$35,4,FALSE),0)</f>
        <v>0</v>
      </c>
      <c r="I169" s="386"/>
      <c r="J169" s="3"/>
      <c r="K169" s="3"/>
      <c r="L169" s="3"/>
      <c r="M169" s="3"/>
    </row>
    <row r="170" ht="15.75" customHeight="1">
      <c r="A170" s="386"/>
      <c r="B170" s="26" t="str">
        <f>IFERROR(VLOOKUP(A170,PRODUCTOS!$A$6:$B$35,2,FALSE),"")</f>
      </c>
      <c r="C170" s="386"/>
      <c r="D170" s="386"/>
      <c r="E170" s="386"/>
      <c r="F170" s="33" t="n">
        <f>IFERROR(VLOOKUP(C170,'MATERIAS PRIMAS'!$B$5:$F$104,5,FALSE),0)</f>
        <v>0</v>
      </c>
      <c r="G170" s="33">
        <f t="shared" si="1"/>
        <v>0</v>
      </c>
      <c r="H170" s="36" t="n">
        <f>IFERROR(D170/VLOOKUP(A170,PRODUCTOS!$A$6:$D$35,4,FALSE),0)</f>
        <v>0</v>
      </c>
      <c r="I170" s="386"/>
      <c r="J170" s="3"/>
      <c r="K170" s="3"/>
      <c r="L170" s="3"/>
      <c r="M170" s="3"/>
    </row>
    <row r="171" ht="15.75" customHeight="1">
      <c r="A171" s="386"/>
      <c r="B171" s="26" t="str">
        <f>IFERROR(VLOOKUP(A171,PRODUCTOS!$A$6:$B$35,2,FALSE),"")</f>
      </c>
      <c r="C171" s="386"/>
      <c r="D171" s="386"/>
      <c r="E171" s="386"/>
      <c r="F171" s="33" t="n">
        <f>IFERROR(VLOOKUP(C171,'MATERIAS PRIMAS'!$B$5:$F$104,5,FALSE),0)</f>
        <v>0</v>
      </c>
      <c r="G171" s="33">
        <f t="shared" si="1"/>
        <v>0</v>
      </c>
      <c r="H171" s="36" t="n">
        <f>IFERROR(D171/VLOOKUP(A171,PRODUCTOS!$A$6:$D$35,4,FALSE),0)</f>
        <v>0</v>
      </c>
      <c r="I171" s="386"/>
      <c r="J171" s="3"/>
      <c r="K171" s="3"/>
      <c r="L171" s="3"/>
      <c r="M171" s="3"/>
    </row>
    <row r="172" ht="15.75" customHeight="1">
      <c r="A172" s="386"/>
      <c r="B172" s="26" t="str">
        <f>IFERROR(VLOOKUP(A172,PRODUCTOS!$A$6:$B$35,2,FALSE),"")</f>
      </c>
      <c r="C172" s="386"/>
      <c r="D172" s="386"/>
      <c r="E172" s="386"/>
      <c r="F172" s="33" t="n">
        <f>IFERROR(VLOOKUP(C172,'MATERIAS PRIMAS'!$B$5:$F$104,5,FALSE),0)</f>
        <v>0</v>
      </c>
      <c r="G172" s="33">
        <f t="shared" si="1"/>
        <v>0</v>
      </c>
      <c r="H172" s="36" t="n">
        <f>IFERROR(D172/VLOOKUP(A172,PRODUCTOS!$A$6:$D$35,4,FALSE),0)</f>
        <v>0</v>
      </c>
      <c r="I172" s="386"/>
      <c r="J172" s="3"/>
      <c r="K172" s="3"/>
      <c r="L172" s="3"/>
      <c r="M172" s="3"/>
    </row>
    <row r="173" ht="15.75" customHeight="1">
      <c r="A173" s="386"/>
      <c r="B173" s="26" t="str">
        <f>IFERROR(VLOOKUP(A173,PRODUCTOS!$A$6:$B$35,2,FALSE),"")</f>
      </c>
      <c r="C173" s="386"/>
      <c r="D173" s="386"/>
      <c r="E173" s="386"/>
      <c r="F173" s="33" t="n">
        <f>IFERROR(VLOOKUP(C173,'MATERIAS PRIMAS'!$B$5:$F$104,5,FALSE),0)</f>
        <v>0</v>
      </c>
      <c r="G173" s="33">
        <f t="shared" si="1"/>
        <v>0</v>
      </c>
      <c r="H173" s="36" t="n">
        <f>IFERROR(D173/VLOOKUP(A173,PRODUCTOS!$A$6:$D$35,4,FALSE),0)</f>
        <v>0</v>
      </c>
      <c r="I173" s="386"/>
      <c r="J173" s="3"/>
      <c r="K173" s="3"/>
      <c r="L173" s="3"/>
      <c r="M173" s="3"/>
    </row>
    <row r="174" ht="15.75" customHeight="1">
      <c r="A174" s="386"/>
      <c r="B174" s="26" t="str">
        <f>IFERROR(VLOOKUP(A174,PRODUCTOS!$A$6:$B$35,2,FALSE),"")</f>
      </c>
      <c r="C174" s="386"/>
      <c r="D174" s="386"/>
      <c r="E174" s="386"/>
      <c r="F174" s="33" t="n">
        <f>IFERROR(VLOOKUP(C174,'MATERIAS PRIMAS'!$B$5:$F$104,5,FALSE),0)</f>
        <v>0</v>
      </c>
      <c r="G174" s="33">
        <f t="shared" si="1"/>
        <v>0</v>
      </c>
      <c r="H174" s="36" t="n">
        <f>IFERROR(D174/VLOOKUP(A174,PRODUCTOS!$A$6:$D$35,4,FALSE),0)</f>
        <v>0</v>
      </c>
      <c r="I174" s="386"/>
      <c r="J174" s="3"/>
      <c r="K174" s="3"/>
      <c r="L174" s="3"/>
      <c r="M174" s="3"/>
    </row>
    <row r="175" ht="15.75" customHeight="1">
      <c r="A175" s="386"/>
      <c r="B175" s="26" t="str">
        <f>IFERROR(VLOOKUP(A175,PRODUCTOS!$A$6:$B$35,2,FALSE),"")</f>
      </c>
      <c r="C175" s="386"/>
      <c r="D175" s="386"/>
      <c r="E175" s="386"/>
      <c r="F175" s="33" t="n">
        <f>IFERROR(VLOOKUP(C175,'MATERIAS PRIMAS'!$B$5:$F$104,5,FALSE),0)</f>
        <v>0</v>
      </c>
      <c r="G175" s="33">
        <f t="shared" si="1"/>
        <v>0</v>
      </c>
      <c r="H175" s="36" t="n">
        <f>IFERROR(D175/VLOOKUP(A175,PRODUCTOS!$A$6:$D$35,4,FALSE),0)</f>
        <v>0</v>
      </c>
      <c r="I175" s="386"/>
      <c r="J175" s="3"/>
      <c r="K175" s="3"/>
      <c r="L175" s="3"/>
      <c r="M175" s="3"/>
    </row>
    <row r="176" ht="15.75" customHeight="1">
      <c r="A176" s="386"/>
      <c r="B176" s="26" t="str">
        <f>IFERROR(VLOOKUP(A176,PRODUCTOS!$A$6:$B$35,2,FALSE),"")</f>
      </c>
      <c r="C176" s="386"/>
      <c r="D176" s="386"/>
      <c r="E176" s="386"/>
      <c r="F176" s="33" t="n">
        <f>IFERROR(VLOOKUP(C176,'MATERIAS PRIMAS'!$B$5:$F$104,5,FALSE),0)</f>
        <v>0</v>
      </c>
      <c r="G176" s="33">
        <f t="shared" si="1"/>
        <v>0</v>
      </c>
      <c r="H176" s="36" t="n">
        <f>IFERROR(D176/VLOOKUP(A176,PRODUCTOS!$A$6:$D$35,4,FALSE),0)</f>
        <v>0</v>
      </c>
      <c r="I176" s="386"/>
      <c r="J176" s="3"/>
      <c r="K176" s="3"/>
      <c r="L176" s="3"/>
      <c r="M176" s="3"/>
    </row>
    <row r="177" ht="15.75" customHeight="1">
      <c r="A177" s="386"/>
      <c r="B177" s="26" t="str">
        <f>IFERROR(VLOOKUP(A177,PRODUCTOS!$A$6:$B$35,2,FALSE),"")</f>
      </c>
      <c r="C177" s="386"/>
      <c r="D177" s="386"/>
      <c r="E177" s="386"/>
      <c r="F177" s="33" t="n">
        <f>IFERROR(VLOOKUP(C177,'MATERIAS PRIMAS'!$B$5:$F$104,5,FALSE),0)</f>
        <v>0</v>
      </c>
      <c r="G177" s="33">
        <f t="shared" si="1"/>
        <v>0</v>
      </c>
      <c r="H177" s="36" t="n">
        <f>IFERROR(D177/VLOOKUP(A177,PRODUCTOS!$A$6:$D$35,4,FALSE),0)</f>
        <v>0</v>
      </c>
      <c r="I177" s="386"/>
      <c r="J177" s="3"/>
      <c r="K177" s="3"/>
      <c r="L177" s="3"/>
      <c r="M177" s="3"/>
    </row>
    <row r="178" ht="15.75" customHeight="1">
      <c r="A178" s="386"/>
      <c r="B178" s="26" t="str">
        <f>IFERROR(VLOOKUP(A178,PRODUCTOS!$A$6:$B$35,2,FALSE),"")</f>
      </c>
      <c r="C178" s="386"/>
      <c r="D178" s="386"/>
      <c r="E178" s="386"/>
      <c r="F178" s="33" t="n">
        <f>IFERROR(VLOOKUP(C178,'MATERIAS PRIMAS'!$B$5:$F$104,5,FALSE),0)</f>
        <v>0</v>
      </c>
      <c r="G178" s="33">
        <f t="shared" si="1"/>
        <v>0</v>
      </c>
      <c r="H178" s="36" t="n">
        <f>IFERROR(D178/VLOOKUP(A178,PRODUCTOS!$A$6:$D$35,4,FALSE),0)</f>
        <v>0</v>
      </c>
      <c r="I178" s="386"/>
      <c r="J178" s="3"/>
      <c r="K178" s="3"/>
      <c r="L178" s="3"/>
      <c r="M178" s="3"/>
    </row>
    <row r="179" ht="15.75" customHeight="1">
      <c r="A179" s="386"/>
      <c r="B179" s="26" t="str">
        <f>IFERROR(VLOOKUP(A179,PRODUCTOS!$A$6:$B$35,2,FALSE),"")</f>
      </c>
      <c r="C179" s="386"/>
      <c r="D179" s="386"/>
      <c r="E179" s="386"/>
      <c r="F179" s="33" t="n">
        <f>IFERROR(VLOOKUP(C179,'MATERIAS PRIMAS'!$B$5:$F$104,5,FALSE),0)</f>
        <v>0</v>
      </c>
      <c r="G179" s="33">
        <f t="shared" si="1"/>
        <v>0</v>
      </c>
      <c r="H179" s="36" t="n">
        <f>IFERROR(D179/VLOOKUP(A179,PRODUCTOS!$A$6:$D$35,4,FALSE),0)</f>
        <v>0</v>
      </c>
      <c r="I179" s="386"/>
      <c r="J179" s="3"/>
      <c r="K179" s="3"/>
      <c r="L179" s="3"/>
      <c r="M179" s="3"/>
    </row>
    <row r="180" ht="15.75" customHeight="1">
      <c r="A180" s="386"/>
      <c r="B180" s="26" t="str">
        <f>IFERROR(VLOOKUP(A180,PRODUCTOS!$A$6:$B$35,2,FALSE),"")</f>
      </c>
      <c r="C180" s="386"/>
      <c r="D180" s="386"/>
      <c r="E180" s="386"/>
      <c r="F180" s="33" t="n">
        <f>IFERROR(VLOOKUP(C180,'MATERIAS PRIMAS'!$B$5:$F$104,5,FALSE),0)</f>
        <v>0</v>
      </c>
      <c r="G180" s="33">
        <f t="shared" si="1"/>
        <v>0</v>
      </c>
      <c r="H180" s="36" t="n">
        <f>IFERROR(D180/VLOOKUP(A180,PRODUCTOS!$A$6:$D$35,4,FALSE),0)</f>
        <v>0</v>
      </c>
      <c r="I180" s="386"/>
      <c r="J180" s="3"/>
      <c r="K180" s="3"/>
      <c r="L180" s="3"/>
      <c r="M180" s="3"/>
    </row>
    <row r="181" ht="15.75" customHeight="1">
      <c r="A181" s="386"/>
      <c r="B181" s="26" t="str">
        <f>IFERROR(VLOOKUP(A181,PRODUCTOS!$A$6:$B$35,2,FALSE),"")</f>
      </c>
      <c r="C181" s="386"/>
      <c r="D181" s="386"/>
      <c r="E181" s="386"/>
      <c r="F181" s="33" t="n">
        <f>IFERROR(VLOOKUP(C181,'MATERIAS PRIMAS'!$B$5:$F$104,5,FALSE),0)</f>
        <v>0</v>
      </c>
      <c r="G181" s="33">
        <f t="shared" si="1"/>
        <v>0</v>
      </c>
      <c r="H181" s="36" t="n">
        <f>IFERROR(D181/VLOOKUP(A181,PRODUCTOS!$A$6:$D$35,4,FALSE),0)</f>
        <v>0</v>
      </c>
      <c r="I181" s="386"/>
      <c r="J181" s="3"/>
      <c r="K181" s="3"/>
      <c r="L181" s="3"/>
      <c r="M181" s="3"/>
    </row>
    <row r="182" ht="15.75" customHeight="1">
      <c r="A182" s="386"/>
      <c r="B182" s="26" t="str">
        <f>IFERROR(VLOOKUP(A182,PRODUCTOS!$A$6:$B$35,2,FALSE),"")</f>
      </c>
      <c r="C182" s="386"/>
      <c r="D182" s="386"/>
      <c r="E182" s="386"/>
      <c r="F182" s="33" t="n">
        <f>IFERROR(VLOOKUP(C182,'MATERIAS PRIMAS'!$B$5:$F$104,5,FALSE),0)</f>
        <v>0</v>
      </c>
      <c r="G182" s="33">
        <f t="shared" si="1"/>
        <v>0</v>
      </c>
      <c r="H182" s="36" t="n">
        <f>IFERROR(D182/VLOOKUP(A182,PRODUCTOS!$A$6:$D$35,4,FALSE),0)</f>
        <v>0</v>
      </c>
      <c r="I182" s="386"/>
      <c r="J182" s="3"/>
      <c r="K182" s="3"/>
      <c r="L182" s="3"/>
      <c r="M182" s="3"/>
    </row>
    <row r="183" ht="15.75" customHeight="1">
      <c r="A183" s="386"/>
      <c r="B183" s="26" t="str">
        <f>IFERROR(VLOOKUP(A183,PRODUCTOS!$A$6:$B$35,2,FALSE),"")</f>
      </c>
      <c r="C183" s="386"/>
      <c r="D183" s="386"/>
      <c r="E183" s="386"/>
      <c r="F183" s="33" t="n">
        <f>IFERROR(VLOOKUP(C183,'MATERIAS PRIMAS'!$B$5:$F$104,5,FALSE),0)</f>
        <v>0</v>
      </c>
      <c r="G183" s="33">
        <f t="shared" si="1"/>
        <v>0</v>
      </c>
      <c r="H183" s="36" t="n">
        <f>IFERROR(D183/VLOOKUP(A183,PRODUCTOS!$A$6:$D$35,4,FALSE),0)</f>
        <v>0</v>
      </c>
      <c r="I183" s="386"/>
      <c r="J183" s="3"/>
      <c r="K183" s="3"/>
      <c r="L183" s="3"/>
      <c r="M183" s="3"/>
    </row>
    <row r="184" ht="15.75" customHeight="1">
      <c r="A184" s="386"/>
      <c r="B184" s="26" t="str">
        <f>IFERROR(VLOOKUP(A184,PRODUCTOS!$A$6:$B$35,2,FALSE),"")</f>
      </c>
      <c r="C184" s="386"/>
      <c r="D184" s="386"/>
      <c r="E184" s="386"/>
      <c r="F184" s="33" t="n">
        <f>IFERROR(VLOOKUP(C184,'MATERIAS PRIMAS'!$B$5:$F$104,5,FALSE),0)</f>
        <v>0</v>
      </c>
      <c r="G184" s="33">
        <f t="shared" si="1"/>
        <v>0</v>
      </c>
      <c r="H184" s="36" t="n">
        <f>IFERROR(D184/VLOOKUP(A184,PRODUCTOS!$A$6:$D$35,4,FALSE),0)</f>
        <v>0</v>
      </c>
      <c r="I184" s="386"/>
      <c r="J184" s="3"/>
      <c r="K184" s="3"/>
      <c r="L184" s="3"/>
      <c r="M184" s="3"/>
    </row>
    <row r="185" ht="15.75" customHeight="1">
      <c r="A185" s="386"/>
      <c r="B185" s="26" t="str">
        <f>IFERROR(VLOOKUP(A185,PRODUCTOS!$A$6:$B$35,2,FALSE),"")</f>
      </c>
      <c r="C185" s="386"/>
      <c r="D185" s="386"/>
      <c r="E185" s="386"/>
      <c r="F185" s="33" t="n">
        <f>IFERROR(VLOOKUP(C185,'MATERIAS PRIMAS'!$B$5:$F$104,5,FALSE),0)</f>
        <v>0</v>
      </c>
      <c r="G185" s="33">
        <f t="shared" si="1"/>
        <v>0</v>
      </c>
      <c r="H185" s="36" t="n">
        <f>IFERROR(D185/VLOOKUP(A185,PRODUCTOS!$A$6:$D$35,4,FALSE),0)</f>
        <v>0</v>
      </c>
      <c r="I185" s="386"/>
      <c r="J185" s="3"/>
      <c r="K185" s="3"/>
      <c r="L185" s="3"/>
      <c r="M185" s="3"/>
    </row>
    <row r="186" ht="15.75" customHeight="1">
      <c r="A186" s="386"/>
      <c r="B186" s="26" t="str">
        <f>IFERROR(VLOOKUP(A186,PRODUCTOS!$A$6:$B$35,2,FALSE),"")</f>
      </c>
      <c r="C186" s="386"/>
      <c r="D186" s="386"/>
      <c r="E186" s="386"/>
      <c r="F186" s="33" t="n">
        <f>IFERROR(VLOOKUP(C186,'MATERIAS PRIMAS'!$B$5:$F$104,5,FALSE),0)</f>
        <v>0</v>
      </c>
      <c r="G186" s="33">
        <f t="shared" si="1"/>
        <v>0</v>
      </c>
      <c r="H186" s="36" t="n">
        <f>IFERROR(D186/VLOOKUP(A186,PRODUCTOS!$A$6:$D$35,4,FALSE),0)</f>
        <v>0</v>
      </c>
      <c r="I186" s="386"/>
      <c r="J186" s="3"/>
      <c r="K186" s="3"/>
      <c r="L186" s="3"/>
      <c r="M186" s="3"/>
    </row>
    <row r="187" ht="15.75" customHeight="1">
      <c r="A187" s="386"/>
      <c r="B187" s="26" t="str">
        <f>IFERROR(VLOOKUP(A187,PRODUCTOS!$A$6:$B$35,2,FALSE),"")</f>
      </c>
      <c r="C187" s="386"/>
      <c r="D187" s="386"/>
      <c r="E187" s="386"/>
      <c r="F187" s="33" t="n">
        <f>IFERROR(VLOOKUP(C187,'MATERIAS PRIMAS'!$B$5:$F$104,5,FALSE),0)</f>
        <v>0</v>
      </c>
      <c r="G187" s="33">
        <f t="shared" si="1"/>
        <v>0</v>
      </c>
      <c r="H187" s="36" t="n">
        <f>IFERROR(D187/VLOOKUP(A187,PRODUCTOS!$A$6:$D$35,4,FALSE),0)</f>
        <v>0</v>
      </c>
      <c r="I187" s="386"/>
      <c r="J187" s="3"/>
      <c r="K187" s="3"/>
      <c r="L187" s="3"/>
      <c r="M187" s="3"/>
    </row>
    <row r="188" ht="15.75" customHeight="1">
      <c r="A188" s="386"/>
      <c r="B188" s="26" t="str">
        <f>IFERROR(VLOOKUP(A188,PRODUCTOS!$A$6:$B$35,2,FALSE),"")</f>
      </c>
      <c r="C188" s="386"/>
      <c r="D188" s="386"/>
      <c r="E188" s="386"/>
      <c r="F188" s="33" t="n">
        <f>IFERROR(VLOOKUP(C188,'MATERIAS PRIMAS'!$B$5:$F$104,5,FALSE),0)</f>
        <v>0</v>
      </c>
      <c r="G188" s="33">
        <f t="shared" si="1"/>
        <v>0</v>
      </c>
      <c r="H188" s="36" t="n">
        <f>IFERROR(D188/VLOOKUP(A188,PRODUCTOS!$A$6:$D$35,4,FALSE),0)</f>
        <v>0</v>
      </c>
      <c r="I188" s="386"/>
      <c r="J188" s="3"/>
      <c r="K188" s="3"/>
      <c r="L188" s="3"/>
      <c r="M188" s="3"/>
    </row>
    <row r="189" ht="15.75" customHeight="1">
      <c r="A189" s="386"/>
      <c r="B189" s="26" t="str">
        <f>IFERROR(VLOOKUP(A189,PRODUCTOS!$A$6:$B$35,2,FALSE),"")</f>
      </c>
      <c r="C189" s="386"/>
      <c r="D189" s="386"/>
      <c r="E189" s="386"/>
      <c r="F189" s="33" t="n">
        <f>IFERROR(VLOOKUP(C189,'MATERIAS PRIMAS'!$B$5:$F$104,5,FALSE),0)</f>
        <v>0</v>
      </c>
      <c r="G189" s="33">
        <f t="shared" si="1"/>
        <v>0</v>
      </c>
      <c r="H189" s="36" t="n">
        <f>IFERROR(D189/VLOOKUP(A189,PRODUCTOS!$A$6:$D$35,4,FALSE),0)</f>
        <v>0</v>
      </c>
      <c r="I189" s="386"/>
      <c r="J189" s="3"/>
      <c r="K189" s="3"/>
      <c r="L189" s="3"/>
      <c r="M189" s="3"/>
    </row>
    <row r="190" ht="15.75" customHeight="1">
      <c r="A190" s="386"/>
      <c r="B190" s="26" t="str">
        <f>IFERROR(VLOOKUP(A190,PRODUCTOS!$A$6:$B$35,2,FALSE),"")</f>
      </c>
      <c r="C190" s="386"/>
      <c r="D190" s="386"/>
      <c r="E190" s="386"/>
      <c r="F190" s="33" t="n">
        <f>IFERROR(VLOOKUP(C190,'MATERIAS PRIMAS'!$B$5:$F$104,5,FALSE),0)</f>
        <v>0</v>
      </c>
      <c r="G190" s="33">
        <f t="shared" si="1"/>
        <v>0</v>
      </c>
      <c r="H190" s="36" t="n">
        <f>IFERROR(D190/VLOOKUP(A190,PRODUCTOS!$A$6:$D$35,4,FALSE),0)</f>
        <v>0</v>
      </c>
      <c r="I190" s="386"/>
      <c r="J190" s="3"/>
      <c r="K190" s="3"/>
      <c r="L190" s="3"/>
      <c r="M190" s="3"/>
    </row>
    <row r="191" ht="15.75" customHeight="1">
      <c r="A191" s="386"/>
      <c r="B191" s="26" t="str">
        <f>IFERROR(VLOOKUP(A191,PRODUCTOS!$A$6:$B$35,2,FALSE),"")</f>
      </c>
      <c r="C191" s="386"/>
      <c r="D191" s="386"/>
      <c r="E191" s="386"/>
      <c r="F191" s="33" t="n">
        <f>IFERROR(VLOOKUP(C191,'MATERIAS PRIMAS'!$B$5:$F$104,5,FALSE),0)</f>
        <v>0</v>
      </c>
      <c r="G191" s="33">
        <f t="shared" si="1"/>
        <v>0</v>
      </c>
      <c r="H191" s="36" t="n">
        <f>IFERROR(D191/VLOOKUP(A191,PRODUCTOS!$A$6:$D$35,4,FALSE),0)</f>
        <v>0</v>
      </c>
      <c r="I191" s="386"/>
      <c r="J191" s="3"/>
      <c r="K191" s="3"/>
      <c r="L191" s="3"/>
      <c r="M191" s="3"/>
    </row>
    <row r="192" ht="15.75" customHeight="1">
      <c r="A192" s="386"/>
      <c r="B192" s="26" t="str">
        <f>IFERROR(VLOOKUP(A192,PRODUCTOS!$A$6:$B$35,2,FALSE),"")</f>
      </c>
      <c r="C192" s="386"/>
      <c r="D192" s="386"/>
      <c r="E192" s="386"/>
      <c r="F192" s="33" t="n">
        <f>IFERROR(VLOOKUP(C192,'MATERIAS PRIMAS'!$B$5:$F$104,5,FALSE),0)</f>
        <v>0</v>
      </c>
      <c r="G192" s="33">
        <f t="shared" si="1"/>
        <v>0</v>
      </c>
      <c r="H192" s="36" t="n">
        <f>IFERROR(D192/VLOOKUP(A192,PRODUCTOS!$A$6:$D$35,4,FALSE),0)</f>
        <v>0</v>
      </c>
      <c r="I192" s="386"/>
      <c r="J192" s="3"/>
      <c r="K192" s="3"/>
      <c r="L192" s="3"/>
      <c r="M192" s="3"/>
    </row>
    <row r="193" ht="15.75" customHeight="1">
      <c r="A193" s="386"/>
      <c r="B193" s="26" t="str">
        <f>IFERROR(VLOOKUP(A193,PRODUCTOS!$A$6:$B$35,2,FALSE),"")</f>
      </c>
      <c r="C193" s="386"/>
      <c r="D193" s="386"/>
      <c r="E193" s="386"/>
      <c r="F193" s="33" t="n">
        <f>IFERROR(VLOOKUP(C193,'MATERIAS PRIMAS'!$B$5:$F$104,5,FALSE),0)</f>
        <v>0</v>
      </c>
      <c r="G193" s="33">
        <f t="shared" si="1"/>
        <v>0</v>
      </c>
      <c r="H193" s="36" t="n">
        <f>IFERROR(D193/VLOOKUP(A193,PRODUCTOS!$A$6:$D$35,4,FALSE),0)</f>
        <v>0</v>
      </c>
      <c r="I193" s="386"/>
      <c r="J193" s="3"/>
      <c r="K193" s="3"/>
      <c r="L193" s="3"/>
      <c r="M193" s="3"/>
    </row>
    <row r="194" ht="15.75" customHeight="1">
      <c r="A194" s="386"/>
      <c r="B194" s="26" t="str">
        <f>IFERROR(VLOOKUP(A194,PRODUCTOS!$A$6:$B$35,2,FALSE),"")</f>
      </c>
      <c r="C194" s="386"/>
      <c r="D194" s="386"/>
      <c r="E194" s="386"/>
      <c r="F194" s="33" t="n">
        <f>IFERROR(VLOOKUP(C194,'MATERIAS PRIMAS'!$B$5:$F$104,5,FALSE),0)</f>
        <v>0</v>
      </c>
      <c r="G194" s="33">
        <f t="shared" si="1"/>
        <v>0</v>
      </c>
      <c r="H194" s="36" t="n">
        <f>IFERROR(D194/VLOOKUP(A194,PRODUCTOS!$A$6:$D$35,4,FALSE),0)</f>
        <v>0</v>
      </c>
      <c r="I194" s="386"/>
      <c r="J194" s="3"/>
      <c r="K194" s="3"/>
      <c r="L194" s="3"/>
      <c r="M194" s="3"/>
    </row>
    <row r="195" ht="15.75" customHeight="1">
      <c r="A195" s="386"/>
      <c r="B195" s="26" t="str">
        <f>IFERROR(VLOOKUP(A195,PRODUCTOS!$A$6:$B$35,2,FALSE),"")</f>
      </c>
      <c r="C195" s="386"/>
      <c r="D195" s="386"/>
      <c r="E195" s="386"/>
      <c r="F195" s="33" t="n">
        <f>IFERROR(VLOOKUP(C195,'MATERIAS PRIMAS'!$B$5:$F$104,5,FALSE),0)</f>
        <v>0</v>
      </c>
      <c r="G195" s="33">
        <f t="shared" si="1"/>
        <v>0</v>
      </c>
      <c r="H195" s="36" t="n">
        <f>IFERROR(D195/VLOOKUP(A195,PRODUCTOS!$A$6:$D$35,4,FALSE),0)</f>
        <v>0</v>
      </c>
      <c r="I195" s="386"/>
      <c r="J195" s="3"/>
      <c r="K195" s="3"/>
      <c r="L195" s="3"/>
      <c r="M195" s="3"/>
    </row>
    <row r="196" ht="15.75" customHeight="1">
      <c r="A196" s="386"/>
      <c r="B196" s="26" t="str">
        <f>IFERROR(VLOOKUP(A196,PRODUCTOS!$A$6:$B$35,2,FALSE),"")</f>
      </c>
      <c r="C196" s="386"/>
      <c r="D196" s="386"/>
      <c r="E196" s="386"/>
      <c r="F196" s="33" t="n">
        <f>IFERROR(VLOOKUP(C196,'MATERIAS PRIMAS'!$B$5:$F$104,5,FALSE),0)</f>
        <v>0</v>
      </c>
      <c r="G196" s="33">
        <f t="shared" si="1"/>
        <v>0</v>
      </c>
      <c r="H196" s="36" t="n">
        <f>IFERROR(D196/VLOOKUP(A196,PRODUCTOS!$A$6:$D$35,4,FALSE),0)</f>
        <v>0</v>
      </c>
      <c r="I196" s="386"/>
      <c r="J196" s="3"/>
      <c r="K196" s="3"/>
      <c r="L196" s="3"/>
      <c r="M196" s="3"/>
    </row>
    <row r="197" ht="15.75" customHeight="1">
      <c r="A197" s="386"/>
      <c r="B197" s="26" t="str">
        <f>IFERROR(VLOOKUP(A197,PRODUCTOS!$A$6:$B$35,2,FALSE),"")</f>
      </c>
      <c r="C197" s="386"/>
      <c r="D197" s="386"/>
      <c r="E197" s="386"/>
      <c r="F197" s="33" t="n">
        <f>IFERROR(VLOOKUP(C197,'MATERIAS PRIMAS'!$B$5:$F$104,5,FALSE),0)</f>
        <v>0</v>
      </c>
      <c r="G197" s="33">
        <f t="shared" si="1"/>
        <v>0</v>
      </c>
      <c r="H197" s="36" t="n">
        <f>IFERROR(D197/VLOOKUP(A197,PRODUCTOS!$A$6:$D$35,4,FALSE),0)</f>
        <v>0</v>
      </c>
      <c r="I197" s="386"/>
      <c r="J197" s="3"/>
      <c r="K197" s="3"/>
      <c r="L197" s="3"/>
      <c r="M197" s="3"/>
    </row>
    <row r="198" ht="15.75" customHeight="1">
      <c r="A198" s="386"/>
      <c r="B198" s="26" t="str">
        <f>IFERROR(VLOOKUP(A198,PRODUCTOS!$A$6:$B$35,2,FALSE),"")</f>
      </c>
      <c r="C198" s="386"/>
      <c r="D198" s="386"/>
      <c r="E198" s="386"/>
      <c r="F198" s="33" t="n">
        <f>IFERROR(VLOOKUP(C198,'MATERIAS PRIMAS'!$B$5:$F$104,5,FALSE),0)</f>
        <v>0</v>
      </c>
      <c r="G198" s="33">
        <f t="shared" si="1"/>
        <v>0</v>
      </c>
      <c r="H198" s="36" t="n">
        <f>IFERROR(D198/VLOOKUP(A198,PRODUCTOS!$A$6:$D$35,4,FALSE),0)</f>
        <v>0</v>
      </c>
      <c r="I198" s="386"/>
      <c r="J198" s="3"/>
      <c r="K198" s="3"/>
      <c r="L198" s="3"/>
      <c r="M198" s="3"/>
    </row>
    <row r="199" ht="15.75" customHeight="1">
      <c r="A199" s="386"/>
      <c r="B199" s="26" t="str">
        <f>IFERROR(VLOOKUP(A199,PRODUCTOS!$A$6:$B$35,2,FALSE),"")</f>
      </c>
      <c r="C199" s="386"/>
      <c r="D199" s="386"/>
      <c r="E199" s="386"/>
      <c r="F199" s="33" t="n">
        <f>IFERROR(VLOOKUP(C199,'MATERIAS PRIMAS'!$B$5:$F$104,5,FALSE),0)</f>
        <v>0</v>
      </c>
      <c r="G199" s="33">
        <f t="shared" si="1"/>
        <v>0</v>
      </c>
      <c r="H199" s="36" t="n">
        <f>IFERROR(D199/VLOOKUP(A199,PRODUCTOS!$A$6:$D$35,4,FALSE),0)</f>
        <v>0</v>
      </c>
      <c r="I199" s="386"/>
      <c r="J199" s="3"/>
      <c r="K199" s="3"/>
      <c r="L199" s="3"/>
      <c r="M199" s="3"/>
    </row>
    <row r="200" ht="15.75" customHeight="1">
      <c r="A200" s="386"/>
      <c r="B200" s="26" t="str">
        <f>IFERROR(VLOOKUP(A200,PRODUCTOS!$A$6:$B$35,2,FALSE),"")</f>
      </c>
      <c r="C200" s="386"/>
      <c r="D200" s="386"/>
      <c r="E200" s="386"/>
      <c r="F200" s="33" t="n">
        <f>IFERROR(VLOOKUP(C200,'MATERIAS PRIMAS'!$B$5:$F$104,5,FALSE),0)</f>
        <v>0</v>
      </c>
      <c r="G200" s="33">
        <f t="shared" si="1"/>
        <v>0</v>
      </c>
      <c r="H200" s="36" t="n">
        <f>IFERROR(D200/VLOOKUP(A200,PRODUCTOS!$A$6:$D$35,4,FALSE),0)</f>
        <v>0</v>
      </c>
      <c r="I200" s="386"/>
      <c r="J200" s="3"/>
      <c r="K200" s="3"/>
      <c r="L200" s="3"/>
      <c r="M200" s="3"/>
    </row>
    <row r="201" ht="15.75" customHeight="1">
      <c r="A201" s="386"/>
      <c r="B201" s="26" t="str">
        <f>IFERROR(VLOOKUP(A201,PRODUCTOS!$A$6:$B$35,2,FALSE),"")</f>
      </c>
      <c r="C201" s="386"/>
      <c r="D201" s="386"/>
      <c r="E201" s="386"/>
      <c r="F201" s="33" t="n">
        <f>IFERROR(VLOOKUP(C201,'MATERIAS PRIMAS'!$B$5:$F$104,5,FALSE),0)</f>
        <v>0</v>
      </c>
      <c r="G201" s="33">
        <f t="shared" si="1"/>
        <v>0</v>
      </c>
      <c r="H201" s="36" t="n">
        <f>IFERROR(D201/VLOOKUP(A201,PRODUCTOS!$A$6:$D$35,4,FALSE),0)</f>
        <v>0</v>
      </c>
      <c r="I201" s="386"/>
      <c r="J201" s="3"/>
      <c r="K201" s="3"/>
      <c r="L201" s="3"/>
      <c r="M201" s="3"/>
    </row>
    <row r="202" ht="15.75" customHeight="1">
      <c r="A202" s="386"/>
      <c r="B202" s="26" t="str">
        <f>IFERROR(VLOOKUP(A202,PRODUCTOS!$A$6:$B$35,2,FALSE),"")</f>
      </c>
      <c r="C202" s="386"/>
      <c r="D202" s="386"/>
      <c r="E202" s="386"/>
      <c r="F202" s="33" t="n">
        <f>IFERROR(VLOOKUP(C202,'MATERIAS PRIMAS'!$B$5:$F$104,5,FALSE),0)</f>
        <v>0</v>
      </c>
      <c r="G202" s="33">
        <f t="shared" si="1"/>
        <v>0</v>
      </c>
      <c r="H202" s="36" t="n">
        <f>IFERROR(D202/VLOOKUP(A202,PRODUCTOS!$A$6:$D$35,4,FALSE),0)</f>
        <v>0</v>
      </c>
      <c r="I202" s="386"/>
      <c r="J202" s="3"/>
      <c r="K202" s="3"/>
      <c r="L202" s="3"/>
      <c r="M202" s="3"/>
    </row>
    <row r="203" ht="15.75" customHeight="1">
      <c r="A203" s="386"/>
      <c r="B203" s="26" t="str">
        <f>IFERROR(VLOOKUP(A203,PRODUCTOS!$A$6:$B$35,2,FALSE),"")</f>
      </c>
      <c r="C203" s="386"/>
      <c r="D203" s="386"/>
      <c r="E203" s="386"/>
      <c r="F203" s="33" t="n">
        <f>IFERROR(VLOOKUP(C203,'MATERIAS PRIMAS'!$B$5:$F$104,5,FALSE),0)</f>
        <v>0</v>
      </c>
      <c r="G203" s="33">
        <f t="shared" si="1"/>
        <v>0</v>
      </c>
      <c r="H203" s="36" t="n">
        <f>IFERROR(D203/VLOOKUP(A203,PRODUCTOS!$A$6:$D$35,4,FALSE),0)</f>
        <v>0</v>
      </c>
      <c r="I203" s="386"/>
      <c r="J203" s="3"/>
      <c r="K203" s="3"/>
      <c r="L203" s="3"/>
      <c r="M203" s="3"/>
    </row>
    <row r="204" ht="15.75" customHeight="1">
      <c r="A204" s="386"/>
      <c r="B204" s="26" t="str">
        <f>IFERROR(VLOOKUP(A204,PRODUCTOS!$A$6:$B$35,2,FALSE),"")</f>
      </c>
      <c r="C204" s="386"/>
      <c r="D204" s="386"/>
      <c r="E204" s="386"/>
      <c r="F204" s="33" t="n">
        <f>IFERROR(VLOOKUP(C204,'MATERIAS PRIMAS'!$B$5:$F$104,5,FALSE),0)</f>
        <v>0</v>
      </c>
      <c r="G204" s="33">
        <f t="shared" si="1"/>
        <v>0</v>
      </c>
      <c r="H204" s="36" t="n">
        <f>IFERROR(D204/VLOOKUP(A204,PRODUCTOS!$A$6:$D$35,4,FALSE),0)</f>
        <v>0</v>
      </c>
      <c r="I204" s="386"/>
      <c r="J204" s="3"/>
      <c r="K204" s="3"/>
      <c r="L204" s="3"/>
      <c r="M204" s="3"/>
    </row>
    <row r="205" ht="15.75" customHeight="1">
      <c r="A205" s="386"/>
      <c r="B205" s="26" t="str">
        <f>IFERROR(VLOOKUP(A205,PRODUCTOS!$A$6:$B$35,2,FALSE),"")</f>
      </c>
      <c r="C205" s="386"/>
      <c r="D205" s="386"/>
      <c r="E205" s="386"/>
      <c r="F205" s="33" t="n">
        <f>IFERROR(VLOOKUP(C205,'MATERIAS PRIMAS'!$B$5:$F$104,5,FALSE),0)</f>
        <v>0</v>
      </c>
      <c r="G205" s="33">
        <f t="shared" si="1"/>
        <v>0</v>
      </c>
      <c r="H205" s="36" t="n">
        <f>IFERROR(D205/VLOOKUP(A205,PRODUCTOS!$A$6:$D$35,4,FALSE),0)</f>
        <v>0</v>
      </c>
      <c r="I205" s="386"/>
      <c r="J205" s="3"/>
      <c r="K205" s="3"/>
      <c r="L205" s="3"/>
      <c r="M205" s="3"/>
    </row>
    <row r="206" ht="15.75" customHeight="1">
      <c r="A206" s="386"/>
      <c r="B206" s="26" t="str">
        <f>IFERROR(VLOOKUP(A206,PRODUCTOS!$A$6:$B$35,2,FALSE),"")</f>
      </c>
      <c r="C206" s="386"/>
      <c r="D206" s="386"/>
      <c r="E206" s="386"/>
      <c r="F206" s="33" t="n">
        <f>IFERROR(VLOOKUP(C206,'MATERIAS PRIMAS'!$B$5:$F$104,5,FALSE),0)</f>
        <v>0</v>
      </c>
      <c r="G206" s="33">
        <f t="shared" si="1"/>
        <v>0</v>
      </c>
      <c r="H206" s="36" t="n">
        <f>IFERROR(D206/VLOOKUP(A206,PRODUCTOS!$A$6:$D$35,4,FALSE),0)</f>
        <v>0</v>
      </c>
      <c r="I206" s="386"/>
      <c r="J206" s="3"/>
      <c r="K206" s="3"/>
      <c r="L206" s="3"/>
      <c r="M206" s="3"/>
    </row>
    <row r="207" ht="15.75" customHeight="1">
      <c r="A207" s="386"/>
      <c r="B207" s="26" t="str">
        <f>IFERROR(VLOOKUP(A207,PRODUCTOS!$A$6:$B$35,2,FALSE),"")</f>
      </c>
      <c r="C207" s="386"/>
      <c r="D207" s="386"/>
      <c r="E207" s="386"/>
      <c r="F207" s="33" t="n">
        <f>IFERROR(VLOOKUP(C207,'MATERIAS PRIMAS'!$B$5:$F$104,5,FALSE),0)</f>
        <v>0</v>
      </c>
      <c r="G207" s="33">
        <f t="shared" si="1"/>
        <v>0</v>
      </c>
      <c r="H207" s="36" t="n">
        <f>IFERROR(D207/VLOOKUP(A207,PRODUCTOS!$A$6:$D$35,4,FALSE),0)</f>
        <v>0</v>
      </c>
      <c r="I207" s="386"/>
      <c r="J207" s="3"/>
      <c r="K207" s="3"/>
      <c r="L207" s="3"/>
      <c r="M207" s="3"/>
    </row>
    <row r="208" ht="15.75" customHeight="1">
      <c r="A208" s="386"/>
      <c r="B208" s="26" t="str">
        <f>IFERROR(VLOOKUP(A208,PRODUCTOS!$A$6:$B$35,2,FALSE),"")</f>
      </c>
      <c r="C208" s="386"/>
      <c r="D208" s="386"/>
      <c r="E208" s="386"/>
      <c r="F208" s="33" t="n">
        <f>IFERROR(VLOOKUP(C208,'MATERIAS PRIMAS'!$B$5:$F$104,5,FALSE),0)</f>
        <v>0</v>
      </c>
      <c r="G208" s="33">
        <f t="shared" si="1"/>
        <v>0</v>
      </c>
      <c r="H208" s="36" t="n">
        <f>IFERROR(D208/VLOOKUP(A208,PRODUCTOS!$A$6:$D$35,4,FALSE),0)</f>
        <v>0</v>
      </c>
      <c r="I208" s="386"/>
      <c r="J208" s="3"/>
      <c r="K208" s="3"/>
      <c r="L208" s="3"/>
      <c r="M208" s="3"/>
    </row>
    <row r="209" ht="15.75" customHeight="1">
      <c r="A209" s="386"/>
      <c r="B209" s="26" t="str">
        <f>IFERROR(VLOOKUP(A209,PRODUCTOS!$A$6:$B$35,2,FALSE),"")</f>
      </c>
      <c r="C209" s="386"/>
      <c r="D209" s="386"/>
      <c r="E209" s="386"/>
      <c r="F209" s="33" t="n">
        <f>IFERROR(VLOOKUP(C209,'MATERIAS PRIMAS'!$B$5:$F$104,5,FALSE),0)</f>
        <v>0</v>
      </c>
      <c r="G209" s="33">
        <f t="shared" si="1"/>
        <v>0</v>
      </c>
      <c r="H209" s="36" t="n">
        <f>IFERROR(D209/VLOOKUP(A209,PRODUCTOS!$A$6:$D$35,4,FALSE),0)</f>
        <v>0</v>
      </c>
      <c r="I209" s="386"/>
      <c r="J209" s="3"/>
      <c r="K209" s="3"/>
      <c r="L209" s="3"/>
      <c r="M209" s="3"/>
    </row>
    <row r="210" ht="15.75" customHeight="1">
      <c r="A210" s="386"/>
      <c r="B210" s="26" t="str">
        <f>IFERROR(VLOOKUP(A210,PRODUCTOS!$A$6:$B$35,2,FALSE),"")</f>
      </c>
      <c r="C210" s="386"/>
      <c r="D210" s="386"/>
      <c r="E210" s="386"/>
      <c r="F210" s="33" t="n">
        <f>IFERROR(VLOOKUP(C210,'MATERIAS PRIMAS'!$B$5:$F$104,5,FALSE),0)</f>
        <v>0</v>
      </c>
      <c r="G210" s="33">
        <f t="shared" si="1"/>
        <v>0</v>
      </c>
      <c r="H210" s="36" t="n">
        <f>IFERROR(D210/VLOOKUP(A210,PRODUCTOS!$A$6:$D$35,4,FALSE),0)</f>
        <v>0</v>
      </c>
      <c r="I210" s="386"/>
      <c r="J210" s="3"/>
      <c r="K210" s="3"/>
      <c r="L210" s="3"/>
      <c r="M210" s="3"/>
    </row>
    <row r="211" ht="15.75" customHeight="1">
      <c r="A211" s="386"/>
      <c r="B211" s="26" t="str">
        <f>IFERROR(VLOOKUP(A211,PRODUCTOS!$A$6:$B$35,2,FALSE),"")</f>
      </c>
      <c r="C211" s="386"/>
      <c r="D211" s="386"/>
      <c r="E211" s="386"/>
      <c r="F211" s="33" t="n">
        <f>IFERROR(VLOOKUP(C211,'MATERIAS PRIMAS'!$B$5:$F$104,5,FALSE),0)</f>
        <v>0</v>
      </c>
      <c r="G211" s="33">
        <f t="shared" si="1"/>
        <v>0</v>
      </c>
      <c r="H211" s="36" t="n">
        <f>IFERROR(D211/VLOOKUP(A211,PRODUCTOS!$A$6:$D$35,4,FALSE),0)</f>
        <v>0</v>
      </c>
      <c r="I211" s="386"/>
      <c r="J211" s="3"/>
      <c r="K211" s="3"/>
      <c r="L211" s="3"/>
      <c r="M211" s="3"/>
    </row>
    <row r="212" ht="15.75" customHeight="1">
      <c r="A212" s="386"/>
      <c r="B212" s="26" t="str">
        <f>IFERROR(VLOOKUP(A212,PRODUCTOS!$A$6:$B$35,2,FALSE),"")</f>
      </c>
      <c r="C212" s="386"/>
      <c r="D212" s="386"/>
      <c r="E212" s="386"/>
      <c r="F212" s="33" t="n">
        <f>IFERROR(VLOOKUP(C212,'MATERIAS PRIMAS'!$B$5:$F$104,5,FALSE),0)</f>
        <v>0</v>
      </c>
      <c r="G212" s="33">
        <f t="shared" si="1"/>
        <v>0</v>
      </c>
      <c r="H212" s="36" t="n">
        <f>IFERROR(D212/VLOOKUP(A212,PRODUCTOS!$A$6:$D$35,4,FALSE),0)</f>
        <v>0</v>
      </c>
      <c r="I212" s="386"/>
      <c r="J212" s="3"/>
      <c r="K212" s="3"/>
      <c r="L212" s="3"/>
      <c r="M212" s="3"/>
    </row>
    <row r="213" ht="15.75" customHeight="1">
      <c r="A213" s="386"/>
      <c r="B213" s="26" t="str">
        <f>IFERROR(VLOOKUP(A213,PRODUCTOS!$A$6:$B$35,2,FALSE),"")</f>
      </c>
      <c r="C213" s="386"/>
      <c r="D213" s="386"/>
      <c r="E213" s="386"/>
      <c r="F213" s="33" t="n">
        <f>IFERROR(VLOOKUP(C213,'MATERIAS PRIMAS'!$B$5:$F$104,5,FALSE),0)</f>
        <v>0</v>
      </c>
      <c r="G213" s="33">
        <f t="shared" si="1"/>
        <v>0</v>
      </c>
      <c r="H213" s="36" t="n">
        <f>IFERROR(D213/VLOOKUP(A213,PRODUCTOS!$A$6:$D$35,4,FALSE),0)</f>
        <v>0</v>
      </c>
      <c r="I213" s="386"/>
      <c r="J213" s="3"/>
      <c r="K213" s="3"/>
      <c r="L213" s="3"/>
      <c r="M213" s="3"/>
    </row>
    <row r="214" ht="15.75" customHeight="1">
      <c r="A214" s="386"/>
      <c r="B214" s="26" t="str">
        <f>IFERROR(VLOOKUP(A214,PRODUCTOS!$A$6:$B$35,2,FALSE),"")</f>
      </c>
      <c r="C214" s="386"/>
      <c r="D214" s="386"/>
      <c r="E214" s="386"/>
      <c r="F214" s="33" t="n">
        <f>IFERROR(VLOOKUP(C214,'MATERIAS PRIMAS'!$B$5:$F$104,5,FALSE),0)</f>
        <v>0</v>
      </c>
      <c r="G214" s="33">
        <f t="shared" si="1"/>
        <v>0</v>
      </c>
      <c r="H214" s="36" t="n">
        <f>IFERROR(D214/VLOOKUP(A214,PRODUCTOS!$A$6:$D$35,4,FALSE),0)</f>
        <v>0</v>
      </c>
      <c r="I214" s="386"/>
      <c r="J214" s="3"/>
      <c r="K214" s="3"/>
      <c r="L214" s="3"/>
      <c r="M214" s="3"/>
    </row>
    <row r="215" ht="15.75" customHeight="1">
      <c r="A215" s="386"/>
      <c r="B215" s="26" t="str">
        <f>IFERROR(VLOOKUP(A215,PRODUCTOS!$A$6:$B$35,2,FALSE),"")</f>
      </c>
      <c r="C215" s="386"/>
      <c r="D215" s="386"/>
      <c r="E215" s="386"/>
      <c r="F215" s="33" t="n">
        <f>IFERROR(VLOOKUP(C215,'MATERIAS PRIMAS'!$B$5:$F$104,5,FALSE),0)</f>
        <v>0</v>
      </c>
      <c r="G215" s="33">
        <f t="shared" si="1"/>
        <v>0</v>
      </c>
      <c r="H215" s="36" t="n">
        <f>IFERROR(D215/VLOOKUP(A215,PRODUCTOS!$A$6:$D$35,4,FALSE),0)</f>
        <v>0</v>
      </c>
      <c r="I215" s="386"/>
      <c r="J215" s="3"/>
      <c r="K215" s="3"/>
      <c r="L215" s="3"/>
      <c r="M215" s="3"/>
    </row>
    <row r="216" ht="15.75" customHeight="1">
      <c r="A216" s="386"/>
      <c r="B216" s="26" t="str">
        <f>IFERROR(VLOOKUP(A216,PRODUCTOS!$A$6:$B$35,2,FALSE),"")</f>
      </c>
      <c r="C216" s="386"/>
      <c r="D216" s="386"/>
      <c r="E216" s="386"/>
      <c r="F216" s="33" t="n">
        <f>IFERROR(VLOOKUP(C216,'MATERIAS PRIMAS'!$B$5:$F$104,5,FALSE),0)</f>
        <v>0</v>
      </c>
      <c r="G216" s="33">
        <f t="shared" si="1"/>
        <v>0</v>
      </c>
      <c r="H216" s="36" t="n">
        <f>IFERROR(D216/VLOOKUP(A216,PRODUCTOS!$A$6:$D$35,4,FALSE),0)</f>
        <v>0</v>
      </c>
      <c r="I216" s="386"/>
      <c r="J216" s="3"/>
      <c r="K216" s="3"/>
      <c r="L216" s="3"/>
      <c r="M216" s="3"/>
    </row>
    <row r="217" ht="15.75" customHeight="1">
      <c r="A217" s="386"/>
      <c r="B217" s="26" t="str">
        <f>IFERROR(VLOOKUP(A217,PRODUCTOS!$A$6:$B$35,2,FALSE),"")</f>
      </c>
      <c r="C217" s="386"/>
      <c r="D217" s="386"/>
      <c r="E217" s="386"/>
      <c r="F217" s="33" t="n">
        <f>IFERROR(VLOOKUP(C217,'MATERIAS PRIMAS'!$B$5:$F$104,5,FALSE),0)</f>
        <v>0</v>
      </c>
      <c r="G217" s="33">
        <f t="shared" si="1"/>
        <v>0</v>
      </c>
      <c r="H217" s="36" t="n">
        <f>IFERROR(D217/VLOOKUP(A217,PRODUCTOS!$A$6:$D$35,4,FALSE),0)</f>
        <v>0</v>
      </c>
      <c r="I217" s="386"/>
      <c r="J217" s="3"/>
      <c r="K217" s="3"/>
      <c r="L217" s="3"/>
      <c r="M217" s="3"/>
    </row>
    <row r="218" ht="15.75" customHeight="1">
      <c r="A218" s="386"/>
      <c r="B218" s="26" t="str">
        <f>IFERROR(VLOOKUP(A218,PRODUCTOS!$A$6:$B$35,2,FALSE),"")</f>
      </c>
      <c r="C218" s="386"/>
      <c r="D218" s="386"/>
      <c r="E218" s="386"/>
      <c r="F218" s="33" t="n">
        <f>IFERROR(VLOOKUP(C218,'MATERIAS PRIMAS'!$B$5:$F$104,5,FALSE),0)</f>
        <v>0</v>
      </c>
      <c r="G218" s="33">
        <f t="shared" si="1"/>
        <v>0</v>
      </c>
      <c r="H218" s="36" t="n">
        <f>IFERROR(D218/VLOOKUP(A218,PRODUCTOS!$A$6:$D$35,4,FALSE),0)</f>
        <v>0</v>
      </c>
      <c r="I218" s="386"/>
      <c r="J218" s="3"/>
      <c r="K218" s="3"/>
      <c r="L218" s="3"/>
      <c r="M218" s="3"/>
    </row>
    <row r="219" ht="15.75" customHeight="1">
      <c r="A219" s="386"/>
      <c r="B219" s="26" t="str">
        <f>IFERROR(VLOOKUP(A219,PRODUCTOS!$A$6:$B$35,2,FALSE),"")</f>
      </c>
      <c r="C219" s="386"/>
      <c r="D219" s="386"/>
      <c r="E219" s="386"/>
      <c r="F219" s="33" t="n">
        <f>IFERROR(VLOOKUP(C219,'MATERIAS PRIMAS'!$B$5:$F$104,5,FALSE),0)</f>
        <v>0</v>
      </c>
      <c r="G219" s="33">
        <f t="shared" si="1"/>
        <v>0</v>
      </c>
      <c r="H219" s="36" t="n">
        <f>IFERROR(D219/VLOOKUP(A219,PRODUCTOS!$A$6:$D$35,4,FALSE),0)</f>
        <v>0</v>
      </c>
      <c r="I219" s="386"/>
      <c r="J219" s="3"/>
      <c r="K219" s="3"/>
      <c r="L219" s="3"/>
      <c r="M219" s="3"/>
    </row>
    <row r="220" ht="15.75" customHeight="1">
      <c r="A220" s="386"/>
      <c r="B220" s="26" t="str">
        <f>IFERROR(VLOOKUP(A220,PRODUCTOS!$A$6:$B$35,2,FALSE),"")</f>
      </c>
      <c r="C220" s="386"/>
      <c r="D220" s="386"/>
      <c r="E220" s="386"/>
      <c r="F220" s="33" t="n">
        <f>IFERROR(VLOOKUP(C220,'MATERIAS PRIMAS'!$B$5:$F$104,5,FALSE),0)</f>
        <v>0</v>
      </c>
      <c r="G220" s="33">
        <f t="shared" si="1"/>
        <v>0</v>
      </c>
      <c r="H220" s="36" t="n">
        <f>IFERROR(D220/VLOOKUP(A220,PRODUCTOS!$A$6:$D$35,4,FALSE),0)</f>
        <v>0</v>
      </c>
      <c r="I220" s="386"/>
      <c r="J220" s="3"/>
      <c r="K220" s="3"/>
      <c r="L220" s="3"/>
      <c r="M220" s="3"/>
    </row>
    <row r="221" ht="15.75" customHeight="1">
      <c r="A221" s="386"/>
      <c r="B221" s="26" t="str">
        <f>IFERROR(VLOOKUP(A221,PRODUCTOS!$A$6:$B$35,2,FALSE),"")</f>
      </c>
      <c r="C221" s="386"/>
      <c r="D221" s="386"/>
      <c r="E221" s="386"/>
      <c r="F221" s="33" t="n">
        <f>IFERROR(VLOOKUP(C221,'MATERIAS PRIMAS'!$B$5:$F$104,5,FALSE),0)</f>
        <v>0</v>
      </c>
      <c r="G221" s="33">
        <f t="shared" si="1"/>
        <v>0</v>
      </c>
      <c r="H221" s="36" t="n">
        <f>IFERROR(D221/VLOOKUP(A221,PRODUCTOS!$A$6:$D$35,4,FALSE),0)</f>
        <v>0</v>
      </c>
      <c r="I221" s="386"/>
      <c r="J221" s="3"/>
      <c r="K221" s="3"/>
      <c r="L221" s="3"/>
      <c r="M221" s="3"/>
    </row>
    <row r="222" ht="15.75" customHeight="1">
      <c r="A222" s="386"/>
      <c r="B222" s="26" t="str">
        <f>IFERROR(VLOOKUP(A222,PRODUCTOS!$A$6:$B$35,2,FALSE),"")</f>
      </c>
      <c r="C222" s="386"/>
      <c r="D222" s="386"/>
      <c r="E222" s="386"/>
      <c r="F222" s="33" t="n">
        <f>IFERROR(VLOOKUP(C222,'MATERIAS PRIMAS'!$B$5:$F$104,5,FALSE),0)</f>
        <v>0</v>
      </c>
      <c r="G222" s="33">
        <f t="shared" si="1"/>
        <v>0</v>
      </c>
      <c r="H222" s="36" t="n">
        <f>IFERROR(D222/VLOOKUP(A222,PRODUCTOS!$A$6:$D$35,4,FALSE),0)</f>
        <v>0</v>
      </c>
      <c r="I222" s="386"/>
      <c r="J222" s="3"/>
      <c r="K222" s="3"/>
      <c r="L222" s="3"/>
      <c r="M222" s="3"/>
    </row>
    <row r="223" ht="15.75" customHeight="1">
      <c r="A223" s="386"/>
      <c r="B223" s="26" t="str">
        <f>IFERROR(VLOOKUP(A223,PRODUCTOS!$A$6:$B$35,2,FALSE),"")</f>
      </c>
      <c r="C223" s="386"/>
      <c r="D223" s="386"/>
      <c r="E223" s="386"/>
      <c r="F223" s="33" t="n">
        <f>IFERROR(VLOOKUP(C223,'MATERIAS PRIMAS'!$B$5:$F$104,5,FALSE),0)</f>
        <v>0</v>
      </c>
      <c r="G223" s="33">
        <f t="shared" si="1"/>
        <v>0</v>
      </c>
      <c r="H223" s="36" t="n">
        <f>IFERROR(D223/VLOOKUP(A223,PRODUCTOS!$A$6:$D$35,4,FALSE),0)</f>
        <v>0</v>
      </c>
      <c r="I223" s="386"/>
      <c r="J223" s="3"/>
      <c r="K223" s="3"/>
      <c r="L223" s="3"/>
      <c r="M223" s="3"/>
    </row>
    <row r="224" ht="15.75" customHeight="1">
      <c r="A224" s="386"/>
      <c r="B224" s="26" t="str">
        <f>IFERROR(VLOOKUP(A224,PRODUCTOS!$A$6:$B$35,2,FALSE),"")</f>
      </c>
      <c r="C224" s="386"/>
      <c r="D224" s="386"/>
      <c r="E224" s="386"/>
      <c r="F224" s="33" t="n">
        <f>IFERROR(VLOOKUP(C224,'MATERIAS PRIMAS'!$B$5:$F$104,5,FALSE),0)</f>
        <v>0</v>
      </c>
      <c r="G224" s="33">
        <f t="shared" si="1"/>
        <v>0</v>
      </c>
      <c r="H224" s="36" t="n">
        <f>IFERROR(D224/VLOOKUP(A224,PRODUCTOS!$A$6:$D$35,4,FALSE),0)</f>
        <v>0</v>
      </c>
      <c r="I224" s="386"/>
      <c r="J224" s="3"/>
      <c r="K224" s="3"/>
      <c r="L224" s="3"/>
      <c r="M224" s="3"/>
    </row>
    <row r="225" ht="15.75" customHeight="1">
      <c r="A225" s="386"/>
      <c r="B225" s="26" t="str">
        <f>IFERROR(VLOOKUP(A225,PRODUCTOS!$A$6:$B$35,2,FALSE),"")</f>
      </c>
      <c r="C225" s="386"/>
      <c r="D225" s="386"/>
      <c r="E225" s="386"/>
      <c r="F225" s="33" t="n">
        <f>IFERROR(VLOOKUP(C225,'MATERIAS PRIMAS'!$B$5:$F$104,5,FALSE),0)</f>
        <v>0</v>
      </c>
      <c r="G225" s="33">
        <f t="shared" si="1"/>
        <v>0</v>
      </c>
      <c r="H225" s="36" t="n">
        <f>IFERROR(D225/VLOOKUP(A225,PRODUCTOS!$A$6:$D$35,4,FALSE),0)</f>
        <v>0</v>
      </c>
      <c r="I225" s="386"/>
      <c r="J225" s="3"/>
      <c r="K225" s="3"/>
      <c r="L225" s="3"/>
      <c r="M225" s="3"/>
    </row>
    <row r="226" ht="15.75" customHeight="1">
      <c r="A226" s="386"/>
      <c r="B226" s="26" t="str">
        <f>IFERROR(VLOOKUP(A226,PRODUCTOS!$A$6:$B$35,2,FALSE),"")</f>
      </c>
      <c r="C226" s="386"/>
      <c r="D226" s="386"/>
      <c r="E226" s="386"/>
      <c r="F226" s="33" t="n">
        <f>IFERROR(VLOOKUP(C226,'MATERIAS PRIMAS'!$B$5:$F$104,5,FALSE),0)</f>
        <v>0</v>
      </c>
      <c r="G226" s="33">
        <f t="shared" si="1"/>
        <v>0</v>
      </c>
      <c r="H226" s="36" t="n">
        <f>IFERROR(D226/VLOOKUP(A226,PRODUCTOS!$A$6:$D$35,4,FALSE),0)</f>
        <v>0</v>
      </c>
      <c r="I226" s="386"/>
      <c r="J226" s="3"/>
      <c r="K226" s="3"/>
      <c r="L226" s="3"/>
      <c r="M226" s="3"/>
    </row>
    <row r="227" ht="15.75" customHeight="1">
      <c r="A227" s="386"/>
      <c r="B227" s="26" t="str">
        <f>IFERROR(VLOOKUP(A227,PRODUCTOS!$A$6:$B$35,2,FALSE),"")</f>
      </c>
      <c r="C227" s="386"/>
      <c r="D227" s="386"/>
      <c r="E227" s="386"/>
      <c r="F227" s="33" t="n">
        <f>IFERROR(VLOOKUP(C227,'MATERIAS PRIMAS'!$B$5:$F$104,5,FALSE),0)</f>
        <v>0</v>
      </c>
      <c r="G227" s="33">
        <f t="shared" si="1"/>
        <v>0</v>
      </c>
      <c r="H227" s="36" t="n">
        <f>IFERROR(D227/VLOOKUP(A227,PRODUCTOS!$A$6:$D$35,4,FALSE),0)</f>
        <v>0</v>
      </c>
      <c r="I227" s="386"/>
      <c r="J227" s="3"/>
      <c r="K227" s="3"/>
      <c r="L227" s="3"/>
      <c r="M227" s="3"/>
    </row>
    <row r="228" ht="15.75" customHeight="1">
      <c r="A228" s="386"/>
      <c r="B228" s="26" t="str">
        <f>IFERROR(VLOOKUP(A228,PRODUCTOS!$A$6:$B$35,2,FALSE),"")</f>
      </c>
      <c r="C228" s="386"/>
      <c r="D228" s="386"/>
      <c r="E228" s="386"/>
      <c r="F228" s="33" t="n">
        <f>IFERROR(VLOOKUP(C228,'MATERIAS PRIMAS'!$B$5:$F$104,5,FALSE),0)</f>
        <v>0</v>
      </c>
      <c r="G228" s="33">
        <f t="shared" si="1"/>
        <v>0</v>
      </c>
      <c r="H228" s="36" t="n">
        <f>IFERROR(D228/VLOOKUP(A228,PRODUCTOS!$A$6:$D$35,4,FALSE),0)</f>
        <v>0</v>
      </c>
      <c r="I228" s="386"/>
      <c r="J228" s="3"/>
      <c r="K228" s="3"/>
      <c r="L228" s="3"/>
      <c r="M228" s="3"/>
    </row>
    <row r="229" ht="15.75" customHeight="1">
      <c r="A229" s="386"/>
      <c r="B229" s="26" t="str">
        <f>IFERROR(VLOOKUP(A229,PRODUCTOS!$A$6:$B$35,2,FALSE),"")</f>
      </c>
      <c r="C229" s="386"/>
      <c r="D229" s="386"/>
      <c r="E229" s="386"/>
      <c r="F229" s="33" t="n">
        <f>IFERROR(VLOOKUP(C229,'MATERIAS PRIMAS'!$B$5:$F$104,5,FALSE),0)</f>
        <v>0</v>
      </c>
      <c r="G229" s="33">
        <f t="shared" si="1"/>
        <v>0</v>
      </c>
      <c r="H229" s="36" t="n">
        <f>IFERROR(D229/VLOOKUP(A229,PRODUCTOS!$A$6:$D$35,4,FALSE),0)</f>
        <v>0</v>
      </c>
      <c r="I229" s="386"/>
      <c r="J229" s="3"/>
      <c r="K229" s="3"/>
      <c r="L229" s="3"/>
      <c r="M229" s="3"/>
    </row>
    <row r="230" ht="15.75" customHeight="1">
      <c r="A230" s="386"/>
      <c r="B230" s="26" t="str">
        <f>IFERROR(VLOOKUP(A230,PRODUCTOS!$A$6:$B$35,2,FALSE),"")</f>
      </c>
      <c r="C230" s="386"/>
      <c r="D230" s="386"/>
      <c r="E230" s="386"/>
      <c r="F230" s="33" t="n">
        <f>IFERROR(VLOOKUP(C230,'MATERIAS PRIMAS'!$B$5:$F$104,5,FALSE),0)</f>
        <v>0</v>
      </c>
      <c r="G230" s="33">
        <f t="shared" si="1"/>
        <v>0</v>
      </c>
      <c r="H230" s="36" t="n">
        <f>IFERROR(D230/VLOOKUP(A230,PRODUCTOS!$A$6:$D$35,4,FALSE),0)</f>
        <v>0</v>
      </c>
      <c r="I230" s="386"/>
      <c r="J230" s="3"/>
      <c r="K230" s="3"/>
      <c r="L230" s="3"/>
      <c r="M230" s="3"/>
    </row>
    <row r="231" ht="15.75" customHeight="1">
      <c r="A231" s="386"/>
      <c r="B231" s="26" t="str">
        <f>IFERROR(VLOOKUP(A231,PRODUCTOS!$A$6:$B$35,2,FALSE),"")</f>
      </c>
      <c r="C231" s="386"/>
      <c r="D231" s="386"/>
      <c r="E231" s="386"/>
      <c r="F231" s="33" t="n">
        <f>IFERROR(VLOOKUP(C231,'MATERIAS PRIMAS'!$B$5:$F$104,5,FALSE),0)</f>
        <v>0</v>
      </c>
      <c r="G231" s="33">
        <f t="shared" si="1"/>
        <v>0</v>
      </c>
      <c r="H231" s="36" t="n">
        <f>IFERROR(D231/VLOOKUP(A231,PRODUCTOS!$A$6:$D$35,4,FALSE),0)</f>
        <v>0</v>
      </c>
      <c r="I231" s="386"/>
      <c r="J231" s="3"/>
      <c r="K231" s="3"/>
      <c r="L231" s="3"/>
      <c r="M231" s="3"/>
    </row>
    <row r="232" ht="15.75" customHeight="1">
      <c r="A232" s="386"/>
      <c r="B232" s="26" t="str">
        <f>IFERROR(VLOOKUP(A232,PRODUCTOS!$A$6:$B$35,2,FALSE),"")</f>
      </c>
      <c r="C232" s="386"/>
      <c r="D232" s="386"/>
      <c r="E232" s="386"/>
      <c r="F232" s="33" t="n">
        <f>IFERROR(VLOOKUP(C232,'MATERIAS PRIMAS'!$B$5:$F$104,5,FALSE),0)</f>
        <v>0</v>
      </c>
      <c r="G232" s="33">
        <f t="shared" si="1"/>
        <v>0</v>
      </c>
      <c r="H232" s="36" t="n">
        <f>IFERROR(D232/VLOOKUP(A232,PRODUCTOS!$A$6:$D$35,4,FALSE),0)</f>
        <v>0</v>
      </c>
      <c r="I232" s="386"/>
      <c r="J232" s="3"/>
      <c r="K232" s="3"/>
      <c r="L232" s="3"/>
      <c r="M232" s="3"/>
    </row>
    <row r="233" ht="15.75" customHeight="1">
      <c r="A233" s="386"/>
      <c r="B233" s="26" t="str">
        <f>IFERROR(VLOOKUP(A233,PRODUCTOS!$A$6:$B$35,2,FALSE),"")</f>
      </c>
      <c r="C233" s="386"/>
      <c r="D233" s="386"/>
      <c r="E233" s="386"/>
      <c r="F233" s="33" t="n">
        <f>IFERROR(VLOOKUP(C233,'MATERIAS PRIMAS'!$B$5:$F$104,5,FALSE),0)</f>
        <v>0</v>
      </c>
      <c r="G233" s="33">
        <f t="shared" si="1"/>
        <v>0</v>
      </c>
      <c r="H233" s="36" t="n">
        <f>IFERROR(D233/VLOOKUP(A233,PRODUCTOS!$A$6:$D$35,4,FALSE),0)</f>
        <v>0</v>
      </c>
      <c r="I233" s="386"/>
      <c r="J233" s="3"/>
      <c r="K233" s="3"/>
      <c r="L233" s="3"/>
      <c r="M233" s="3"/>
    </row>
    <row r="234" ht="15.75" customHeight="1">
      <c r="A234" s="386"/>
      <c r="B234" s="26" t="str">
        <f>IFERROR(VLOOKUP(A234,PRODUCTOS!$A$6:$B$35,2,FALSE),"")</f>
      </c>
      <c r="C234" s="386"/>
      <c r="D234" s="386"/>
      <c r="E234" s="386"/>
      <c r="F234" s="33" t="n">
        <f>IFERROR(VLOOKUP(C234,'MATERIAS PRIMAS'!$B$5:$F$104,5,FALSE),0)</f>
        <v>0</v>
      </c>
      <c r="G234" s="33">
        <f t="shared" si="1"/>
        <v>0</v>
      </c>
      <c r="H234" s="36" t="n">
        <f>IFERROR(D234/VLOOKUP(A234,PRODUCTOS!$A$6:$D$35,4,FALSE),0)</f>
        <v>0</v>
      </c>
      <c r="I234" s="386"/>
      <c r="J234" s="3"/>
      <c r="K234" s="3"/>
      <c r="L234" s="3"/>
      <c r="M234" s="3"/>
    </row>
    <row r="235" ht="15.75" customHeight="1">
      <c r="A235" s="386"/>
      <c r="B235" s="26" t="str">
        <f>IFERROR(VLOOKUP(A235,PRODUCTOS!$A$6:$B$35,2,FALSE),"")</f>
      </c>
      <c r="C235" s="386"/>
      <c r="D235" s="386"/>
      <c r="E235" s="386"/>
      <c r="F235" s="33" t="n">
        <f>IFERROR(VLOOKUP(C235,'MATERIAS PRIMAS'!$B$5:$F$104,5,FALSE),0)</f>
        <v>0</v>
      </c>
      <c r="G235" s="33">
        <f t="shared" si="1"/>
        <v>0</v>
      </c>
      <c r="H235" s="36" t="n">
        <f>IFERROR(D235/VLOOKUP(A235,PRODUCTOS!$A$6:$D$35,4,FALSE),0)</f>
        <v>0</v>
      </c>
      <c r="I235" s="386"/>
      <c r="J235" s="3"/>
      <c r="K235" s="3"/>
      <c r="L235" s="3"/>
      <c r="M235" s="3"/>
    </row>
    <row r="236" ht="15.75" customHeight="1">
      <c r="A236" s="386"/>
      <c r="B236" s="26" t="str">
        <f>IFERROR(VLOOKUP(A236,PRODUCTOS!$A$6:$B$35,2,FALSE),"")</f>
      </c>
      <c r="C236" s="386"/>
      <c r="D236" s="386"/>
      <c r="E236" s="386"/>
      <c r="F236" s="33" t="n">
        <f>IFERROR(VLOOKUP(C236,'MATERIAS PRIMAS'!$B$5:$F$104,5,FALSE),0)</f>
        <v>0</v>
      </c>
      <c r="G236" s="33">
        <f t="shared" si="1"/>
        <v>0</v>
      </c>
      <c r="H236" s="36" t="n">
        <f>IFERROR(D236/VLOOKUP(A236,PRODUCTOS!$A$6:$D$35,4,FALSE),0)</f>
        <v>0</v>
      </c>
      <c r="I236" s="386"/>
      <c r="J236" s="3"/>
      <c r="K236" s="3"/>
      <c r="L236" s="3"/>
      <c r="M236" s="3"/>
    </row>
    <row r="237" ht="15.75" customHeight="1">
      <c r="A237" s="386"/>
      <c r="B237" s="26" t="str">
        <f>IFERROR(VLOOKUP(A237,PRODUCTOS!$A$6:$B$35,2,FALSE),"")</f>
      </c>
      <c r="C237" s="386"/>
      <c r="D237" s="386"/>
      <c r="E237" s="386"/>
      <c r="F237" s="33" t="n">
        <f>IFERROR(VLOOKUP(C237,'MATERIAS PRIMAS'!$B$5:$F$104,5,FALSE),0)</f>
        <v>0</v>
      </c>
      <c r="G237" s="33">
        <f t="shared" si="1"/>
        <v>0</v>
      </c>
      <c r="H237" s="36" t="n">
        <f>IFERROR(D237/VLOOKUP(A237,PRODUCTOS!$A$6:$D$35,4,FALSE),0)</f>
        <v>0</v>
      </c>
      <c r="I237" s="386"/>
      <c r="J237" s="3"/>
      <c r="K237" s="3"/>
      <c r="L237" s="3"/>
      <c r="M237" s="3"/>
    </row>
    <row r="238" ht="15.75" customHeight="1">
      <c r="A238" s="386"/>
      <c r="B238" s="26" t="str">
        <f>IFERROR(VLOOKUP(A238,PRODUCTOS!$A$6:$B$35,2,FALSE),"")</f>
      </c>
      <c r="C238" s="386"/>
      <c r="D238" s="386"/>
      <c r="E238" s="386"/>
      <c r="F238" s="33" t="n">
        <f>IFERROR(VLOOKUP(C238,'MATERIAS PRIMAS'!$B$5:$F$104,5,FALSE),0)</f>
        <v>0</v>
      </c>
      <c r="G238" s="33">
        <f t="shared" si="1"/>
        <v>0</v>
      </c>
      <c r="H238" s="36" t="n">
        <f>IFERROR(D238/VLOOKUP(A238,PRODUCTOS!$A$6:$D$35,4,FALSE),0)</f>
        <v>0</v>
      </c>
      <c r="I238" s="386"/>
      <c r="J238" s="3"/>
      <c r="K238" s="3"/>
      <c r="L238" s="3"/>
      <c r="M238" s="3"/>
    </row>
    <row r="239" ht="15.75" customHeight="1">
      <c r="A239" s="386"/>
      <c r="B239" s="26" t="str">
        <f>IFERROR(VLOOKUP(A239,PRODUCTOS!$A$6:$B$35,2,FALSE),"")</f>
      </c>
      <c r="C239" s="386"/>
      <c r="D239" s="386"/>
      <c r="E239" s="386"/>
      <c r="F239" s="33" t="n">
        <f>IFERROR(VLOOKUP(C239,'MATERIAS PRIMAS'!$B$5:$F$104,5,FALSE),0)</f>
        <v>0</v>
      </c>
      <c r="G239" s="33">
        <f t="shared" si="1"/>
        <v>0</v>
      </c>
      <c r="H239" s="36" t="n">
        <f>IFERROR(D239/VLOOKUP(A239,PRODUCTOS!$A$6:$D$35,4,FALSE),0)</f>
        <v>0</v>
      </c>
      <c r="I239" s="386"/>
      <c r="J239" s="3"/>
      <c r="K239" s="3"/>
      <c r="L239" s="3"/>
      <c r="M239" s="3"/>
    </row>
    <row r="240" ht="15.75" customHeight="1">
      <c r="A240" s="386"/>
      <c r="B240" s="26" t="str">
        <f>IFERROR(VLOOKUP(A240,PRODUCTOS!$A$6:$B$35,2,FALSE),"")</f>
      </c>
      <c r="C240" s="386"/>
      <c r="D240" s="386"/>
      <c r="E240" s="386"/>
      <c r="F240" s="33" t="n">
        <f>IFERROR(VLOOKUP(C240,'MATERIAS PRIMAS'!$B$5:$F$104,5,FALSE),0)</f>
        <v>0</v>
      </c>
      <c r="G240" s="33">
        <f t="shared" si="1"/>
        <v>0</v>
      </c>
      <c r="H240" s="36" t="n">
        <f>IFERROR(D240/VLOOKUP(A240,PRODUCTOS!$A$6:$D$35,4,FALSE),0)</f>
        <v>0</v>
      </c>
      <c r="I240" s="386"/>
      <c r="J240" s="3"/>
      <c r="K240" s="3"/>
      <c r="L240" s="3"/>
      <c r="M240" s="3"/>
    </row>
    <row r="241" ht="15.75" customHeight="1">
      <c r="A241" s="386"/>
      <c r="B241" s="26" t="str">
        <f>IFERROR(VLOOKUP(A241,PRODUCTOS!$A$6:$B$35,2,FALSE),"")</f>
      </c>
      <c r="C241" s="386"/>
      <c r="D241" s="386"/>
      <c r="E241" s="386"/>
      <c r="F241" s="33" t="n">
        <f>IFERROR(VLOOKUP(C241,'MATERIAS PRIMAS'!$B$5:$F$104,5,FALSE),0)</f>
        <v>0</v>
      </c>
      <c r="G241" s="33">
        <f t="shared" si="1"/>
        <v>0</v>
      </c>
      <c r="H241" s="36" t="n">
        <f>IFERROR(D241/VLOOKUP(A241,PRODUCTOS!$A$6:$D$35,4,FALSE),0)</f>
        <v>0</v>
      </c>
      <c r="I241" s="386"/>
      <c r="J241" s="3"/>
      <c r="K241" s="3"/>
      <c r="L241" s="3"/>
      <c r="M241" s="3"/>
    </row>
    <row r="242" ht="15.75" customHeight="1">
      <c r="A242" s="386"/>
      <c r="B242" s="26" t="str">
        <f>IFERROR(VLOOKUP(A242,PRODUCTOS!$A$6:$B$35,2,FALSE),"")</f>
      </c>
      <c r="C242" s="386"/>
      <c r="D242" s="386"/>
      <c r="E242" s="386"/>
      <c r="F242" s="33" t="n">
        <f>IFERROR(VLOOKUP(C242,'MATERIAS PRIMAS'!$B$5:$F$104,5,FALSE),0)</f>
        <v>0</v>
      </c>
      <c r="G242" s="33">
        <f t="shared" si="1"/>
        <v>0</v>
      </c>
      <c r="H242" s="36" t="n">
        <f>IFERROR(D242/VLOOKUP(A242,PRODUCTOS!$A$6:$D$35,4,FALSE),0)</f>
        <v>0</v>
      </c>
      <c r="I242" s="386"/>
      <c r="J242" s="3"/>
      <c r="K242" s="3"/>
      <c r="L242" s="3"/>
      <c r="M242" s="3"/>
    </row>
    <row r="243" ht="15.75" customHeight="1">
      <c r="A243" s="386"/>
      <c r="B243" s="26" t="str">
        <f>IFERROR(VLOOKUP(A243,PRODUCTOS!$A$6:$B$35,2,FALSE),"")</f>
      </c>
      <c r="C243" s="386"/>
      <c r="D243" s="386"/>
      <c r="E243" s="386"/>
      <c r="F243" s="33" t="n">
        <f>IFERROR(VLOOKUP(C243,'MATERIAS PRIMAS'!$B$5:$F$104,5,FALSE),0)</f>
        <v>0</v>
      </c>
      <c r="G243" s="33">
        <f t="shared" si="1"/>
        <v>0</v>
      </c>
      <c r="H243" s="36" t="n">
        <f>IFERROR(D243/VLOOKUP(A243,PRODUCTOS!$A$6:$D$35,4,FALSE),0)</f>
        <v>0</v>
      </c>
      <c r="I243" s="386"/>
      <c r="J243" s="3"/>
      <c r="K243" s="3"/>
      <c r="L243" s="3"/>
      <c r="M243" s="3"/>
    </row>
    <row r="244" ht="15.75" customHeight="1">
      <c r="A244" s="386"/>
      <c r="B244" s="26" t="str">
        <f>IFERROR(VLOOKUP(A244,PRODUCTOS!$A$6:$B$35,2,FALSE),"")</f>
      </c>
      <c r="C244" s="386"/>
      <c r="D244" s="386"/>
      <c r="E244" s="386"/>
      <c r="F244" s="33" t="n">
        <f>IFERROR(VLOOKUP(C244,'MATERIAS PRIMAS'!$B$5:$F$104,5,FALSE),0)</f>
        <v>0</v>
      </c>
      <c r="G244" s="33">
        <f t="shared" si="1"/>
        <v>0</v>
      </c>
      <c r="H244" s="36" t="n">
        <f>IFERROR(D244/VLOOKUP(A244,PRODUCTOS!$A$6:$D$35,4,FALSE),0)</f>
        <v>0</v>
      </c>
      <c r="I244" s="386"/>
      <c r="J244" s="3"/>
      <c r="K244" s="3"/>
      <c r="L244" s="3"/>
      <c r="M244" s="3"/>
    </row>
    <row r="245" ht="15.75" customHeight="1">
      <c r="A245" s="386"/>
      <c r="B245" s="26" t="str">
        <f>IFERROR(VLOOKUP(A245,PRODUCTOS!$A$6:$B$35,2,FALSE),"")</f>
      </c>
      <c r="C245" s="386"/>
      <c r="D245" s="386"/>
      <c r="E245" s="386"/>
      <c r="F245" s="33" t="n">
        <f>IFERROR(VLOOKUP(C245,'MATERIAS PRIMAS'!$B$5:$F$104,5,FALSE),0)</f>
        <v>0</v>
      </c>
      <c r="G245" s="33">
        <f t="shared" si="1"/>
        <v>0</v>
      </c>
      <c r="H245" s="36" t="n">
        <f>IFERROR(D245/VLOOKUP(A245,PRODUCTOS!$A$6:$D$35,4,FALSE),0)</f>
        <v>0</v>
      </c>
      <c r="I245" s="386"/>
      <c r="J245" s="3"/>
      <c r="K245" s="3"/>
      <c r="L245" s="3"/>
      <c r="M245" s="3"/>
    </row>
    <row r="246" ht="15.75" customHeight="1">
      <c r="A246" s="386"/>
      <c r="B246" s="26" t="str">
        <f>IFERROR(VLOOKUP(A246,PRODUCTOS!$A$6:$B$35,2,FALSE),"")</f>
      </c>
      <c r="C246" s="386"/>
      <c r="D246" s="386"/>
      <c r="E246" s="386"/>
      <c r="F246" s="33" t="n">
        <f>IFERROR(VLOOKUP(C246,'MATERIAS PRIMAS'!$B$5:$F$104,5,FALSE),0)</f>
        <v>0</v>
      </c>
      <c r="G246" s="33">
        <f t="shared" si="1"/>
        <v>0</v>
      </c>
      <c r="H246" s="36" t="n">
        <f>IFERROR(D246/VLOOKUP(A246,PRODUCTOS!$A$6:$D$35,4,FALSE),0)</f>
        <v>0</v>
      </c>
      <c r="I246" s="386"/>
      <c r="J246" s="3"/>
      <c r="K246" s="3"/>
      <c r="L246" s="3"/>
      <c r="M246" s="3"/>
    </row>
    <row r="247" ht="15.75" customHeight="1">
      <c r="A247" s="386"/>
      <c r="B247" s="26" t="str">
        <f>IFERROR(VLOOKUP(A247,PRODUCTOS!$A$6:$B$35,2,FALSE),"")</f>
      </c>
      <c r="C247" s="386"/>
      <c r="D247" s="386"/>
      <c r="E247" s="386"/>
      <c r="F247" s="33" t="n">
        <f>IFERROR(VLOOKUP(C247,'MATERIAS PRIMAS'!$B$5:$F$104,5,FALSE),0)</f>
        <v>0</v>
      </c>
      <c r="G247" s="33">
        <f t="shared" si="1"/>
        <v>0</v>
      </c>
      <c r="H247" s="36" t="n">
        <f>IFERROR(D247/VLOOKUP(A247,PRODUCTOS!$A$6:$D$35,4,FALSE),0)</f>
        <v>0</v>
      </c>
      <c r="I247" s="386"/>
      <c r="J247" s="3"/>
      <c r="K247" s="3"/>
      <c r="L247" s="3"/>
      <c r="M247" s="3"/>
    </row>
    <row r="248" ht="15.75" customHeight="1">
      <c r="A248" s="386"/>
      <c r="B248" s="26" t="str">
        <f>IFERROR(VLOOKUP(A248,PRODUCTOS!$A$6:$B$35,2,FALSE),"")</f>
      </c>
      <c r="C248" s="386"/>
      <c r="D248" s="386"/>
      <c r="E248" s="386"/>
      <c r="F248" s="33" t="n">
        <f>IFERROR(VLOOKUP(C248,'MATERIAS PRIMAS'!$B$5:$F$104,5,FALSE),0)</f>
        <v>0</v>
      </c>
      <c r="G248" s="33">
        <f t="shared" si="1"/>
        <v>0</v>
      </c>
      <c r="H248" s="36" t="n">
        <f>IFERROR(D248/VLOOKUP(A248,PRODUCTOS!$A$6:$D$35,4,FALSE),0)</f>
        <v>0</v>
      </c>
      <c r="I248" s="386"/>
      <c r="J248" s="3"/>
      <c r="K248" s="3"/>
      <c r="L248" s="3"/>
      <c r="M248" s="3"/>
    </row>
    <row r="249" ht="15.75" customHeight="1">
      <c r="A249" s="386"/>
      <c r="B249" s="26" t="str">
        <f>IFERROR(VLOOKUP(A249,PRODUCTOS!$A$6:$B$35,2,FALSE),"")</f>
      </c>
      <c r="C249" s="386"/>
      <c r="D249" s="386"/>
      <c r="E249" s="386"/>
      <c r="F249" s="33" t="n">
        <f>IFERROR(VLOOKUP(C249,'MATERIAS PRIMAS'!$B$5:$F$104,5,FALSE),0)</f>
        <v>0</v>
      </c>
      <c r="G249" s="33">
        <f t="shared" si="1"/>
        <v>0</v>
      </c>
      <c r="H249" s="36" t="n">
        <f>IFERROR(D249/VLOOKUP(A249,PRODUCTOS!$A$6:$D$35,4,FALSE),0)</f>
        <v>0</v>
      </c>
      <c r="I249" s="386"/>
      <c r="J249" s="3"/>
      <c r="K249" s="3"/>
      <c r="L249" s="3"/>
      <c r="M249" s="3"/>
    </row>
    <row r="250" ht="15.75" customHeight="1">
      <c r="A250" s="386"/>
      <c r="B250" s="26" t="str">
        <f>IFERROR(VLOOKUP(A250,PRODUCTOS!$A$6:$B$35,2,FALSE),"")</f>
      </c>
      <c r="C250" s="386"/>
      <c r="D250" s="386"/>
      <c r="E250" s="386"/>
      <c r="F250" s="33" t="n">
        <f>IFERROR(VLOOKUP(C250,'MATERIAS PRIMAS'!$B$5:$F$104,5,FALSE),0)</f>
        <v>0</v>
      </c>
      <c r="G250" s="33">
        <f t="shared" si="1"/>
        <v>0</v>
      </c>
      <c r="H250" s="36" t="n">
        <f>IFERROR(D250/VLOOKUP(A250,PRODUCTOS!$A$6:$D$35,4,FALSE),0)</f>
        <v>0</v>
      </c>
      <c r="I250" s="386"/>
      <c r="J250" s="3"/>
      <c r="K250" s="3"/>
      <c r="L250" s="3"/>
      <c r="M250" s="3"/>
    </row>
    <row r="251" ht="15.75" customHeight="1">
      <c r="A251" s="386"/>
      <c r="B251" s="26" t="str">
        <f>IFERROR(VLOOKUP(A251,PRODUCTOS!$A$6:$B$35,2,FALSE),"")</f>
      </c>
      <c r="C251" s="386"/>
      <c r="D251" s="386"/>
      <c r="E251" s="386"/>
      <c r="F251" s="33" t="n">
        <f>IFERROR(VLOOKUP(C251,'MATERIAS PRIMAS'!$B$5:$F$104,5,FALSE),0)</f>
        <v>0</v>
      </c>
      <c r="G251" s="33">
        <f t="shared" si="1"/>
        <v>0</v>
      </c>
      <c r="H251" s="36" t="n">
        <f>IFERROR(D251/VLOOKUP(A251,PRODUCTOS!$A$6:$D$35,4,FALSE),0)</f>
        <v>0</v>
      </c>
      <c r="I251" s="386"/>
      <c r="J251" s="3"/>
      <c r="K251" s="3"/>
      <c r="L251" s="3"/>
      <c r="M251" s="3"/>
    </row>
    <row r="252" ht="15.75" customHeight="1">
      <c r="A252" s="386"/>
      <c r="B252" s="26" t="str">
        <f>IFERROR(VLOOKUP(A252,PRODUCTOS!$A$6:$B$35,2,FALSE),"")</f>
      </c>
      <c r="C252" s="386"/>
      <c r="D252" s="386"/>
      <c r="E252" s="386"/>
      <c r="F252" s="33" t="n">
        <f>IFERROR(VLOOKUP(C252,'MATERIAS PRIMAS'!$B$5:$F$104,5,FALSE),0)</f>
        <v>0</v>
      </c>
      <c r="G252" s="33">
        <f t="shared" si="1"/>
        <v>0</v>
      </c>
      <c r="H252" s="36" t="n">
        <f>IFERROR(D252/VLOOKUP(A252,PRODUCTOS!$A$6:$D$35,4,FALSE),0)</f>
        <v>0</v>
      </c>
      <c r="I252" s="386"/>
      <c r="J252" s="3"/>
      <c r="K252" s="3"/>
      <c r="L252" s="3"/>
      <c r="M252" s="3"/>
    </row>
    <row r="253" ht="15.75" customHeight="1">
      <c r="A253" s="386"/>
      <c r="B253" s="26" t="str">
        <f>IFERROR(VLOOKUP(A253,PRODUCTOS!$A$6:$B$35,2,FALSE),"")</f>
      </c>
      <c r="C253" s="386"/>
      <c r="D253" s="386"/>
      <c r="E253" s="386"/>
      <c r="F253" s="33" t="n">
        <f>IFERROR(VLOOKUP(C253,'MATERIAS PRIMAS'!$B$5:$F$104,5,FALSE),0)</f>
        <v>0</v>
      </c>
      <c r="G253" s="33">
        <f t="shared" si="1"/>
        <v>0</v>
      </c>
      <c r="H253" s="36" t="n">
        <f>IFERROR(D253/VLOOKUP(A253,PRODUCTOS!$A$6:$D$35,4,FALSE),0)</f>
        <v>0</v>
      </c>
      <c r="I253" s="386"/>
      <c r="J253" s="3"/>
      <c r="K253" s="3"/>
      <c r="L253" s="3"/>
      <c r="M253" s="3"/>
    </row>
    <row r="254" ht="15.75" customHeight="1">
      <c r="A254" s="386"/>
      <c r="B254" s="26" t="str">
        <f>IFERROR(VLOOKUP(A254,PRODUCTOS!$A$6:$B$35,2,FALSE),"")</f>
      </c>
      <c r="C254" s="386"/>
      <c r="D254" s="386"/>
      <c r="E254" s="386"/>
      <c r="F254" s="33" t="n">
        <f>IFERROR(VLOOKUP(C254,'MATERIAS PRIMAS'!$B$5:$F$104,5,FALSE),0)</f>
        <v>0</v>
      </c>
      <c r="G254" s="33">
        <f t="shared" si="1"/>
        <v>0</v>
      </c>
      <c r="H254" s="36" t="n">
        <f>IFERROR(D254/VLOOKUP(A254,PRODUCTOS!$A$6:$D$35,4,FALSE),0)</f>
        <v>0</v>
      </c>
      <c r="I254" s="386"/>
      <c r="J254" s="3"/>
      <c r="K254" s="3"/>
      <c r="L254" s="3"/>
      <c r="M254" s="3"/>
    </row>
    <row r="255" ht="15.75" customHeight="1">
      <c r="A255" s="386"/>
      <c r="B255" s="26" t="str">
        <f>IFERROR(VLOOKUP(A255,PRODUCTOS!$A$6:$B$35,2,FALSE),"")</f>
      </c>
      <c r="C255" s="386"/>
      <c r="D255" s="386"/>
      <c r="E255" s="386"/>
      <c r="F255" s="33" t="n">
        <f>IFERROR(VLOOKUP(C255,'MATERIAS PRIMAS'!$B$5:$F$104,5,FALSE),0)</f>
        <v>0</v>
      </c>
      <c r="G255" s="33">
        <f t="shared" si="1"/>
        <v>0</v>
      </c>
      <c r="H255" s="36" t="n">
        <f>IFERROR(D255/VLOOKUP(A255,PRODUCTOS!$A$6:$D$35,4,FALSE),0)</f>
        <v>0</v>
      </c>
      <c r="I255" s="386"/>
      <c r="J255" s="3"/>
      <c r="K255" s="3"/>
      <c r="L255" s="3"/>
      <c r="M255" s="3"/>
    </row>
    <row r="256" ht="15.75" customHeight="1">
      <c r="A256" s="386"/>
      <c r="B256" s="26" t="str">
        <f>IFERROR(VLOOKUP(A256,PRODUCTOS!$A$6:$B$35,2,FALSE),"")</f>
      </c>
      <c r="C256" s="386"/>
      <c r="D256" s="386"/>
      <c r="E256" s="386"/>
      <c r="F256" s="33" t="n">
        <f>IFERROR(VLOOKUP(C256,'MATERIAS PRIMAS'!$B$5:$F$104,5,FALSE),0)</f>
        <v>0</v>
      </c>
      <c r="G256" s="33">
        <f t="shared" si="1"/>
        <v>0</v>
      </c>
      <c r="H256" s="36" t="n">
        <f>IFERROR(D256/VLOOKUP(A256,PRODUCTOS!$A$6:$D$35,4,FALSE),0)</f>
        <v>0</v>
      </c>
      <c r="I256" s="386"/>
      <c r="J256" s="3"/>
      <c r="K256" s="3"/>
      <c r="L256" s="3"/>
      <c r="M256" s="3"/>
    </row>
    <row r="257" ht="15.75" customHeight="1">
      <c r="A257" s="386"/>
      <c r="B257" s="26" t="str">
        <f>IFERROR(VLOOKUP(A257,PRODUCTOS!$A$6:$B$35,2,FALSE),"")</f>
      </c>
      <c r="C257" s="386"/>
      <c r="D257" s="386"/>
      <c r="E257" s="386"/>
      <c r="F257" s="33" t="n">
        <f>IFERROR(VLOOKUP(C257,'MATERIAS PRIMAS'!$B$5:$F$104,5,FALSE),0)</f>
        <v>0</v>
      </c>
      <c r="G257" s="33">
        <f t="shared" si="1"/>
        <v>0</v>
      </c>
      <c r="H257" s="36" t="n">
        <f>IFERROR(D257/VLOOKUP(A257,PRODUCTOS!$A$6:$D$35,4,FALSE),0)</f>
        <v>0</v>
      </c>
      <c r="I257" s="386"/>
      <c r="J257" s="3"/>
      <c r="K257" s="3"/>
      <c r="L257" s="3"/>
      <c r="M257" s="3"/>
    </row>
    <row r="258" ht="15.75" customHeight="1">
      <c r="A258" s="386"/>
      <c r="B258" s="26" t="str">
        <f>IFERROR(VLOOKUP(A258,PRODUCTOS!$A$6:$B$35,2,FALSE),"")</f>
      </c>
      <c r="C258" s="386"/>
      <c r="D258" s="386"/>
      <c r="E258" s="386"/>
      <c r="F258" s="33" t="n">
        <f>IFERROR(VLOOKUP(C258,'MATERIAS PRIMAS'!$B$5:$F$104,5,FALSE),0)</f>
        <v>0</v>
      </c>
      <c r="G258" s="33">
        <f t="shared" si="1"/>
        <v>0</v>
      </c>
      <c r="H258" s="36" t="n">
        <f>IFERROR(D258/VLOOKUP(A258,PRODUCTOS!$A$6:$D$35,4,FALSE),0)</f>
        <v>0</v>
      </c>
      <c r="I258" s="386"/>
      <c r="J258" s="3"/>
      <c r="K258" s="3"/>
      <c r="L258" s="3"/>
      <c r="M258" s="3"/>
    </row>
    <row r="259" ht="15.75" customHeight="1">
      <c r="A259" s="386"/>
      <c r="B259" s="26" t="str">
        <f>IFERROR(VLOOKUP(A259,PRODUCTOS!$A$6:$B$35,2,FALSE),"")</f>
      </c>
      <c r="C259" s="386"/>
      <c r="D259" s="386"/>
      <c r="E259" s="386"/>
      <c r="F259" s="33" t="n">
        <f>IFERROR(VLOOKUP(C259,'MATERIAS PRIMAS'!$B$5:$F$104,5,FALSE),0)</f>
        <v>0</v>
      </c>
      <c r="G259" s="33">
        <f t="shared" si="1"/>
        <v>0</v>
      </c>
      <c r="H259" s="36" t="n">
        <f>IFERROR(D259/VLOOKUP(A259,PRODUCTOS!$A$6:$D$35,4,FALSE),0)</f>
        <v>0</v>
      </c>
      <c r="I259" s="386"/>
      <c r="J259" s="3"/>
      <c r="K259" s="3"/>
      <c r="L259" s="3"/>
      <c r="M259" s="3"/>
    </row>
    <row r="260" ht="15.75" customHeight="1">
      <c r="A260" s="386"/>
      <c r="B260" s="26" t="str">
        <f>IFERROR(VLOOKUP(A260,PRODUCTOS!$A$6:$B$35,2,FALSE),"")</f>
      </c>
      <c r="C260" s="386"/>
      <c r="D260" s="386"/>
      <c r="E260" s="386"/>
      <c r="F260" s="33" t="n">
        <f>IFERROR(VLOOKUP(C260,'MATERIAS PRIMAS'!$B$5:$F$104,5,FALSE),0)</f>
        <v>0</v>
      </c>
      <c r="G260" s="33">
        <f t="shared" si="1"/>
        <v>0</v>
      </c>
      <c r="H260" s="36" t="n">
        <f>IFERROR(D260/VLOOKUP(A260,PRODUCTOS!$A$6:$D$35,4,FALSE),0)</f>
        <v>0</v>
      </c>
      <c r="I260" s="386"/>
      <c r="J260" s="3"/>
      <c r="K260" s="3"/>
      <c r="L260" s="3"/>
      <c r="M260" s="3"/>
    </row>
    <row r="261" ht="15.75" customHeight="1">
      <c r="A261" s="386"/>
      <c r="B261" s="26" t="str">
        <f>IFERROR(VLOOKUP(A261,PRODUCTOS!$A$6:$B$35,2,FALSE),"")</f>
      </c>
      <c r="C261" s="386"/>
      <c r="D261" s="386"/>
      <c r="E261" s="386"/>
      <c r="F261" s="33" t="n">
        <f>IFERROR(VLOOKUP(C261,'MATERIAS PRIMAS'!$B$5:$F$104,5,FALSE),0)</f>
        <v>0</v>
      </c>
      <c r="G261" s="33">
        <f t="shared" si="1"/>
        <v>0</v>
      </c>
      <c r="H261" s="36" t="n">
        <f>IFERROR(D261/VLOOKUP(A261,PRODUCTOS!$A$6:$D$35,4,FALSE),0)</f>
        <v>0</v>
      </c>
      <c r="I261" s="386"/>
      <c r="J261" s="3"/>
      <c r="K261" s="3"/>
      <c r="L261" s="3"/>
      <c r="M261" s="3"/>
    </row>
    <row r="262" ht="15.75" customHeight="1">
      <c r="A262" s="386"/>
      <c r="B262" s="26" t="str">
        <f>IFERROR(VLOOKUP(A262,PRODUCTOS!$A$6:$B$35,2,FALSE),"")</f>
      </c>
      <c r="C262" s="386"/>
      <c r="D262" s="386"/>
      <c r="E262" s="386"/>
      <c r="F262" s="33" t="n">
        <f>IFERROR(VLOOKUP(C262,'MATERIAS PRIMAS'!$B$5:$F$104,5,FALSE),0)</f>
        <v>0</v>
      </c>
      <c r="G262" s="33">
        <f t="shared" si="1"/>
        <v>0</v>
      </c>
      <c r="H262" s="36" t="n">
        <f>IFERROR(D262/VLOOKUP(A262,PRODUCTOS!$A$6:$D$35,4,FALSE),0)</f>
        <v>0</v>
      </c>
      <c r="I262" s="386"/>
      <c r="J262" s="3"/>
      <c r="K262" s="3"/>
      <c r="L262" s="3"/>
      <c r="M262" s="3"/>
    </row>
    <row r="263" ht="15.75" customHeight="1">
      <c r="A263" s="386"/>
      <c r="B263" s="26" t="str">
        <f>IFERROR(VLOOKUP(A263,PRODUCTOS!$A$6:$B$35,2,FALSE),"")</f>
      </c>
      <c r="C263" s="386"/>
      <c r="D263" s="386"/>
      <c r="E263" s="386"/>
      <c r="F263" s="33" t="n">
        <f>IFERROR(VLOOKUP(C263,'MATERIAS PRIMAS'!$B$5:$F$104,5,FALSE),0)</f>
        <v>0</v>
      </c>
      <c r="G263" s="33">
        <f t="shared" si="1"/>
        <v>0</v>
      </c>
      <c r="H263" s="36" t="n">
        <f>IFERROR(D263/VLOOKUP(A263,PRODUCTOS!$A$6:$D$35,4,FALSE),0)</f>
        <v>0</v>
      </c>
      <c r="I263" s="386"/>
      <c r="J263" s="3"/>
      <c r="K263" s="3"/>
      <c r="L263" s="3"/>
      <c r="M263" s="3"/>
    </row>
    <row r="264" ht="15.75" customHeight="1">
      <c r="A264" s="386"/>
      <c r="B264" s="26" t="str">
        <f>IFERROR(VLOOKUP(A264,PRODUCTOS!$A$6:$B$35,2,FALSE),"")</f>
      </c>
      <c r="C264" s="386"/>
      <c r="D264" s="386"/>
      <c r="E264" s="386"/>
      <c r="F264" s="33" t="n">
        <f>IFERROR(VLOOKUP(C264,'MATERIAS PRIMAS'!$B$5:$F$104,5,FALSE),0)</f>
        <v>0</v>
      </c>
      <c r="G264" s="33">
        <f t="shared" si="1"/>
        <v>0</v>
      </c>
      <c r="H264" s="36" t="n">
        <f>IFERROR(D264/VLOOKUP(A264,PRODUCTOS!$A$6:$D$35,4,FALSE),0)</f>
        <v>0</v>
      </c>
      <c r="I264" s="386"/>
      <c r="J264" s="3"/>
      <c r="K264" s="3"/>
      <c r="L264" s="3"/>
      <c r="M264" s="3"/>
    </row>
    <row r="265" ht="15.75" customHeight="1">
      <c r="A265" s="386"/>
      <c r="B265" s="26" t="str">
        <f>IFERROR(VLOOKUP(A265,PRODUCTOS!$A$6:$B$35,2,FALSE),"")</f>
      </c>
      <c r="C265" s="386"/>
      <c r="D265" s="386"/>
      <c r="E265" s="386"/>
      <c r="F265" s="33" t="n">
        <f>IFERROR(VLOOKUP(C265,'MATERIAS PRIMAS'!$B$5:$F$104,5,FALSE),0)</f>
        <v>0</v>
      </c>
      <c r="G265" s="33">
        <f t="shared" si="1"/>
        <v>0</v>
      </c>
      <c r="H265" s="36" t="n">
        <f>IFERROR(D265/VLOOKUP(A265,PRODUCTOS!$A$6:$D$35,4,FALSE),0)</f>
        <v>0</v>
      </c>
      <c r="I265" s="386"/>
      <c r="J265" s="3"/>
      <c r="K265" s="3"/>
      <c r="L265" s="3"/>
      <c r="M265" s="3"/>
    </row>
    <row r="266" ht="15.75" customHeight="1">
      <c r="A266" s="386"/>
      <c r="B266" s="26" t="str">
        <f>IFERROR(VLOOKUP(A266,PRODUCTOS!$A$6:$B$35,2,FALSE),"")</f>
      </c>
      <c r="C266" s="386"/>
      <c r="D266" s="386"/>
      <c r="E266" s="386"/>
      <c r="F266" s="33" t="n">
        <f>IFERROR(VLOOKUP(C266,'MATERIAS PRIMAS'!$B$5:$F$104,5,FALSE),0)</f>
        <v>0</v>
      </c>
      <c r="G266" s="33">
        <f t="shared" si="1"/>
        <v>0</v>
      </c>
      <c r="H266" s="36" t="n">
        <f>IFERROR(D266/VLOOKUP(A266,PRODUCTOS!$A$6:$D$35,4,FALSE),0)</f>
        <v>0</v>
      </c>
      <c r="I266" s="386"/>
      <c r="J266" s="3"/>
      <c r="K266" s="3"/>
      <c r="L266" s="3"/>
      <c r="M266" s="3"/>
    </row>
    <row r="267" ht="15.75" customHeight="1">
      <c r="A267" s="386"/>
      <c r="B267" s="26" t="str">
        <f>IFERROR(VLOOKUP(A267,PRODUCTOS!$A$6:$B$35,2,FALSE),"")</f>
      </c>
      <c r="C267" s="386"/>
      <c r="D267" s="386"/>
      <c r="E267" s="386"/>
      <c r="F267" s="33" t="n">
        <f>IFERROR(VLOOKUP(C267,'MATERIAS PRIMAS'!$B$5:$F$104,5,FALSE),0)</f>
        <v>0</v>
      </c>
      <c r="G267" s="33">
        <f t="shared" si="1"/>
        <v>0</v>
      </c>
      <c r="H267" s="36" t="n">
        <f>IFERROR(D267/VLOOKUP(A267,PRODUCTOS!$A$6:$D$35,4,FALSE),0)</f>
        <v>0</v>
      </c>
      <c r="I267" s="386"/>
      <c r="J267" s="3"/>
      <c r="K267" s="3"/>
      <c r="L267" s="3"/>
      <c r="M267" s="3"/>
    </row>
    <row r="268" ht="15.75" customHeight="1">
      <c r="A268" s="386"/>
      <c r="B268" s="26" t="str">
        <f>IFERROR(VLOOKUP(A268,PRODUCTOS!$A$6:$B$35,2,FALSE),"")</f>
      </c>
      <c r="C268" s="386"/>
      <c r="D268" s="386"/>
      <c r="E268" s="386"/>
      <c r="F268" s="33" t="n">
        <f>IFERROR(VLOOKUP(C268,'MATERIAS PRIMAS'!$B$5:$F$104,5,FALSE),0)</f>
        <v>0</v>
      </c>
      <c r="G268" s="33">
        <f t="shared" si="1"/>
        <v>0</v>
      </c>
      <c r="H268" s="36" t="n">
        <f>IFERROR(D268/VLOOKUP(A268,PRODUCTOS!$A$6:$D$35,4,FALSE),0)</f>
        <v>0</v>
      </c>
      <c r="I268" s="386"/>
      <c r="J268" s="3"/>
      <c r="K268" s="3"/>
      <c r="L268" s="3"/>
      <c r="M268" s="3"/>
    </row>
    <row r="269" ht="15.75" customHeight="1">
      <c r="A269" s="386"/>
      <c r="B269" s="26" t="str">
        <f>IFERROR(VLOOKUP(A269,PRODUCTOS!$A$6:$B$35,2,FALSE),"")</f>
      </c>
      <c r="C269" s="386"/>
      <c r="D269" s="386"/>
      <c r="E269" s="386"/>
      <c r="F269" s="33" t="n">
        <f>IFERROR(VLOOKUP(C269,'MATERIAS PRIMAS'!$B$5:$F$104,5,FALSE),0)</f>
        <v>0</v>
      </c>
      <c r="G269" s="33">
        <f t="shared" si="1"/>
        <v>0</v>
      </c>
      <c r="H269" s="36" t="n">
        <f>IFERROR(D269/VLOOKUP(A269,PRODUCTOS!$A$6:$D$35,4,FALSE),0)</f>
        <v>0</v>
      </c>
      <c r="I269" s="386"/>
      <c r="J269" s="3"/>
      <c r="K269" s="3"/>
      <c r="L269" s="3"/>
      <c r="M269" s="3"/>
    </row>
    <row r="270" ht="15.75" customHeight="1">
      <c r="A270" s="386"/>
      <c r="B270" s="26" t="str">
        <f>IFERROR(VLOOKUP(A270,PRODUCTOS!$A$6:$B$35,2,FALSE),"")</f>
      </c>
      <c r="C270" s="386"/>
      <c r="D270" s="386"/>
      <c r="E270" s="386"/>
      <c r="F270" s="33" t="n">
        <f>IFERROR(VLOOKUP(C270,'MATERIAS PRIMAS'!$B$5:$F$104,5,FALSE),0)</f>
        <v>0</v>
      </c>
      <c r="G270" s="33">
        <f t="shared" si="1"/>
        <v>0</v>
      </c>
      <c r="H270" s="36" t="n">
        <f>IFERROR(D270/VLOOKUP(A270,PRODUCTOS!$A$6:$D$35,4,FALSE),0)</f>
        <v>0</v>
      </c>
      <c r="I270" s="386"/>
      <c r="J270" s="3"/>
      <c r="K270" s="3"/>
      <c r="L270" s="3"/>
      <c r="M270" s="3"/>
    </row>
    <row r="271" ht="15.75" customHeight="1">
      <c r="A271" s="386"/>
      <c r="B271" s="26" t="str">
        <f>IFERROR(VLOOKUP(A271,PRODUCTOS!$A$6:$B$35,2,FALSE),"")</f>
      </c>
      <c r="C271" s="386"/>
      <c r="D271" s="386"/>
      <c r="E271" s="386"/>
      <c r="F271" s="33" t="n">
        <f>IFERROR(VLOOKUP(C271,'MATERIAS PRIMAS'!$B$5:$F$104,5,FALSE),0)</f>
        <v>0</v>
      </c>
      <c r="G271" s="33">
        <f t="shared" si="1"/>
        <v>0</v>
      </c>
      <c r="H271" s="36" t="n">
        <f>IFERROR(D271/VLOOKUP(A271,PRODUCTOS!$A$6:$D$35,4,FALSE),0)</f>
        <v>0</v>
      </c>
      <c r="I271" s="386"/>
      <c r="J271" s="3"/>
      <c r="K271" s="3"/>
      <c r="L271" s="3"/>
      <c r="M271" s="3"/>
    </row>
    <row r="272" ht="15.75" customHeight="1">
      <c r="A272" s="386"/>
      <c r="B272" s="26" t="str">
        <f>IFERROR(VLOOKUP(A272,PRODUCTOS!$A$6:$B$35,2,FALSE),"")</f>
      </c>
      <c r="C272" s="386"/>
      <c r="D272" s="386"/>
      <c r="E272" s="386"/>
      <c r="F272" s="33" t="n">
        <f>IFERROR(VLOOKUP(C272,'MATERIAS PRIMAS'!$B$5:$F$104,5,FALSE),0)</f>
        <v>0</v>
      </c>
      <c r="G272" s="33">
        <f t="shared" si="1"/>
        <v>0</v>
      </c>
      <c r="H272" s="36" t="n">
        <f>IFERROR(D272/VLOOKUP(A272,PRODUCTOS!$A$6:$D$35,4,FALSE),0)</f>
        <v>0</v>
      </c>
      <c r="I272" s="386"/>
      <c r="J272" s="3"/>
      <c r="K272" s="3"/>
      <c r="L272" s="3"/>
      <c r="M272" s="3"/>
    </row>
    <row r="273" ht="15.75" customHeight="1">
      <c r="A273" s="386"/>
      <c r="B273" s="26" t="str">
        <f>IFERROR(VLOOKUP(A273,PRODUCTOS!$A$6:$B$35,2,FALSE),"")</f>
      </c>
      <c r="C273" s="386"/>
      <c r="D273" s="386"/>
      <c r="E273" s="386"/>
      <c r="F273" s="33" t="n">
        <f>IFERROR(VLOOKUP(C273,'MATERIAS PRIMAS'!$B$5:$F$104,5,FALSE),0)</f>
        <v>0</v>
      </c>
      <c r="G273" s="33">
        <f t="shared" si="1"/>
        <v>0</v>
      </c>
      <c r="H273" s="36" t="n">
        <f>IFERROR(D273/VLOOKUP(A273,PRODUCTOS!$A$6:$D$35,4,FALSE),0)</f>
        <v>0</v>
      </c>
      <c r="I273" s="386"/>
      <c r="J273" s="3"/>
      <c r="K273" s="3"/>
      <c r="L273" s="3"/>
      <c r="M273" s="3"/>
    </row>
    <row r="274" ht="15.75" customHeight="1">
      <c r="A274" s="386"/>
      <c r="B274" s="26" t="str">
        <f>IFERROR(VLOOKUP(A274,PRODUCTOS!$A$6:$B$35,2,FALSE),"")</f>
      </c>
      <c r="C274" s="386"/>
      <c r="D274" s="386"/>
      <c r="E274" s="386"/>
      <c r="F274" s="33" t="n">
        <f>IFERROR(VLOOKUP(C274,'MATERIAS PRIMAS'!$B$5:$F$104,5,FALSE),0)</f>
        <v>0</v>
      </c>
      <c r="G274" s="33">
        <f t="shared" si="1"/>
        <v>0</v>
      </c>
      <c r="H274" s="36" t="n">
        <f>IFERROR(D274/VLOOKUP(A274,PRODUCTOS!$A$6:$D$35,4,FALSE),0)</f>
        <v>0</v>
      </c>
      <c r="I274" s="386"/>
      <c r="J274" s="3"/>
      <c r="K274" s="3"/>
      <c r="L274" s="3"/>
      <c r="M274" s="3"/>
    </row>
    <row r="275" ht="15.75" customHeight="1">
      <c r="A275" s="386"/>
      <c r="B275" s="26" t="str">
        <f>IFERROR(VLOOKUP(A275,PRODUCTOS!$A$6:$B$35,2,FALSE),"")</f>
      </c>
      <c r="C275" s="386"/>
      <c r="D275" s="386"/>
      <c r="E275" s="386"/>
      <c r="F275" s="33" t="n">
        <f>IFERROR(VLOOKUP(C275,'MATERIAS PRIMAS'!$B$5:$F$104,5,FALSE),0)</f>
        <v>0</v>
      </c>
      <c r="G275" s="33">
        <f t="shared" si="1"/>
        <v>0</v>
      </c>
      <c r="H275" s="36" t="n">
        <f>IFERROR(D275/VLOOKUP(A275,PRODUCTOS!$A$6:$D$35,4,FALSE),0)</f>
        <v>0</v>
      </c>
      <c r="I275" s="386"/>
      <c r="J275" s="3"/>
      <c r="K275" s="3"/>
      <c r="L275" s="3"/>
      <c r="M275" s="3"/>
    </row>
    <row r="276" ht="15.75" customHeight="1">
      <c r="A276" s="386"/>
      <c r="B276" s="26" t="str">
        <f>IFERROR(VLOOKUP(A276,PRODUCTOS!$A$6:$B$35,2,FALSE),"")</f>
      </c>
      <c r="C276" s="386"/>
      <c r="D276" s="386"/>
      <c r="E276" s="386"/>
      <c r="F276" s="33" t="n">
        <f>IFERROR(VLOOKUP(C276,'MATERIAS PRIMAS'!$B$5:$F$104,5,FALSE),0)</f>
        <v>0</v>
      </c>
      <c r="G276" s="33">
        <f t="shared" si="1"/>
        <v>0</v>
      </c>
      <c r="H276" s="36" t="n">
        <f>IFERROR(D276/VLOOKUP(A276,PRODUCTOS!$A$6:$D$35,4,FALSE),0)</f>
        <v>0</v>
      </c>
      <c r="I276" s="386"/>
      <c r="J276" s="3"/>
      <c r="K276" s="3"/>
      <c r="L276" s="3"/>
      <c r="M276" s="3"/>
    </row>
    <row r="277" ht="15.75" customHeight="1">
      <c r="A277" s="386"/>
      <c r="B277" s="26" t="str">
        <f>IFERROR(VLOOKUP(A277,PRODUCTOS!$A$6:$B$35,2,FALSE),"")</f>
      </c>
      <c r="C277" s="386"/>
      <c r="D277" s="386"/>
      <c r="E277" s="386"/>
      <c r="F277" s="33" t="n">
        <f>IFERROR(VLOOKUP(C277,'MATERIAS PRIMAS'!$B$5:$F$104,5,FALSE),0)</f>
        <v>0</v>
      </c>
      <c r="G277" s="33">
        <f t="shared" si="1"/>
        <v>0</v>
      </c>
      <c r="H277" s="36" t="n">
        <f>IFERROR(D277/VLOOKUP(A277,PRODUCTOS!$A$6:$D$35,4,FALSE),0)</f>
        <v>0</v>
      </c>
      <c r="I277" s="386"/>
      <c r="J277" s="3"/>
      <c r="K277" s="3"/>
      <c r="L277" s="3"/>
      <c r="M277" s="3"/>
    </row>
    <row r="278" ht="15.75" customHeight="1">
      <c r="A278" s="386"/>
      <c r="B278" s="26" t="str">
        <f>IFERROR(VLOOKUP(A278,PRODUCTOS!$A$6:$B$35,2,FALSE),"")</f>
      </c>
      <c r="C278" s="386"/>
      <c r="D278" s="386"/>
      <c r="E278" s="386"/>
      <c r="F278" s="33" t="n">
        <f>IFERROR(VLOOKUP(C278,'MATERIAS PRIMAS'!$B$5:$F$104,5,FALSE),0)</f>
        <v>0</v>
      </c>
      <c r="G278" s="33">
        <f t="shared" si="1"/>
        <v>0</v>
      </c>
      <c r="H278" s="36" t="n">
        <f>IFERROR(D278/VLOOKUP(A278,PRODUCTOS!$A$6:$D$35,4,FALSE),0)</f>
        <v>0</v>
      </c>
      <c r="I278" s="386"/>
      <c r="J278" s="3"/>
      <c r="K278" s="3"/>
      <c r="L278" s="3"/>
      <c r="M278" s="3"/>
    </row>
    <row r="279" ht="15.75" customHeight="1">
      <c r="A279" s="386"/>
      <c r="B279" s="26" t="str">
        <f>IFERROR(VLOOKUP(A279,PRODUCTOS!$A$6:$B$35,2,FALSE),"")</f>
      </c>
      <c r="C279" s="386"/>
      <c r="D279" s="386"/>
      <c r="E279" s="386"/>
      <c r="F279" s="33" t="n">
        <f>IFERROR(VLOOKUP(C279,'MATERIAS PRIMAS'!$B$5:$F$104,5,FALSE),0)</f>
        <v>0</v>
      </c>
      <c r="G279" s="33">
        <f t="shared" si="1"/>
        <v>0</v>
      </c>
      <c r="H279" s="36" t="n">
        <f>IFERROR(D279/VLOOKUP(A279,PRODUCTOS!$A$6:$D$35,4,FALSE),0)</f>
        <v>0</v>
      </c>
      <c r="I279" s="386"/>
      <c r="J279" s="3"/>
      <c r="K279" s="3"/>
      <c r="L279" s="3"/>
      <c r="M279" s="3"/>
    </row>
    <row r="280" ht="15.75" customHeight="1">
      <c r="A280" s="386"/>
      <c r="B280" s="26" t="str">
        <f>IFERROR(VLOOKUP(A280,PRODUCTOS!$A$6:$B$35,2,FALSE),"")</f>
      </c>
      <c r="C280" s="386"/>
      <c r="D280" s="386"/>
      <c r="E280" s="386"/>
      <c r="F280" s="33" t="n">
        <f>IFERROR(VLOOKUP(C280,'MATERIAS PRIMAS'!$B$5:$F$104,5,FALSE),0)</f>
        <v>0</v>
      </c>
      <c r="G280" s="33">
        <f t="shared" si="1"/>
        <v>0</v>
      </c>
      <c r="H280" s="36" t="n">
        <f>IFERROR(D280/VLOOKUP(A280,PRODUCTOS!$A$6:$D$35,4,FALSE),0)</f>
        <v>0</v>
      </c>
      <c r="I280" s="386"/>
      <c r="J280" s="3"/>
      <c r="K280" s="3"/>
      <c r="L280" s="3"/>
      <c r="M280" s="3"/>
    </row>
    <row r="281" ht="15.75" customHeight="1">
      <c r="A281" s="386"/>
      <c r="B281" s="26" t="str">
        <f>IFERROR(VLOOKUP(A281,PRODUCTOS!$A$6:$B$35,2,FALSE),"")</f>
      </c>
      <c r="C281" s="386"/>
      <c r="D281" s="386"/>
      <c r="E281" s="386"/>
      <c r="F281" s="33" t="n">
        <f>IFERROR(VLOOKUP(C281,'MATERIAS PRIMAS'!$B$5:$F$104,5,FALSE),0)</f>
        <v>0</v>
      </c>
      <c r="G281" s="33">
        <f t="shared" si="1"/>
        <v>0</v>
      </c>
      <c r="H281" s="36" t="n">
        <f>IFERROR(D281/VLOOKUP(A281,PRODUCTOS!$A$6:$D$35,4,FALSE),0)</f>
        <v>0</v>
      </c>
      <c r="I281" s="386"/>
      <c r="J281" s="3"/>
      <c r="K281" s="3"/>
      <c r="L281" s="3"/>
      <c r="M281" s="3"/>
    </row>
    <row r="282" ht="15.75" customHeight="1">
      <c r="A282" s="386"/>
      <c r="B282" s="26" t="str">
        <f>IFERROR(VLOOKUP(A282,PRODUCTOS!$A$6:$B$35,2,FALSE),"")</f>
      </c>
      <c r="C282" s="386"/>
      <c r="D282" s="386"/>
      <c r="E282" s="386"/>
      <c r="F282" s="33" t="n">
        <f>IFERROR(VLOOKUP(C282,'MATERIAS PRIMAS'!$B$5:$F$104,5,FALSE),0)</f>
        <v>0</v>
      </c>
      <c r="G282" s="33">
        <f t="shared" si="1"/>
        <v>0</v>
      </c>
      <c r="H282" s="36" t="n">
        <f>IFERROR(D282/VLOOKUP(A282,PRODUCTOS!$A$6:$D$35,4,FALSE),0)</f>
        <v>0</v>
      </c>
      <c r="I282" s="386"/>
      <c r="J282" s="3"/>
      <c r="K282" s="3"/>
      <c r="L282" s="3"/>
      <c r="M282" s="3"/>
    </row>
    <row r="283" ht="15.75" customHeight="1">
      <c r="A283" s="386"/>
      <c r="B283" s="26" t="str">
        <f>IFERROR(VLOOKUP(A283,PRODUCTOS!$A$6:$B$35,2,FALSE),"")</f>
      </c>
      <c r="C283" s="386"/>
      <c r="D283" s="386"/>
      <c r="E283" s="386"/>
      <c r="F283" s="33" t="n">
        <f>IFERROR(VLOOKUP(C283,'MATERIAS PRIMAS'!$B$5:$F$104,5,FALSE),0)</f>
        <v>0</v>
      </c>
      <c r="G283" s="33">
        <f t="shared" si="1"/>
        <v>0</v>
      </c>
      <c r="H283" s="36" t="n">
        <f>IFERROR(D283/VLOOKUP(A283,PRODUCTOS!$A$6:$D$35,4,FALSE),0)</f>
        <v>0</v>
      </c>
      <c r="I283" s="386"/>
      <c r="J283" s="3"/>
      <c r="K283" s="3"/>
      <c r="L283" s="3"/>
      <c r="M283" s="3"/>
    </row>
    <row r="284" ht="15.75" customHeight="1">
      <c r="A284" s="386"/>
      <c r="B284" s="26" t="str">
        <f>IFERROR(VLOOKUP(A284,PRODUCTOS!$A$6:$B$35,2,FALSE),"")</f>
      </c>
      <c r="C284" s="386"/>
      <c r="D284" s="386"/>
      <c r="E284" s="386"/>
      <c r="F284" s="33" t="n">
        <f>IFERROR(VLOOKUP(C284,'MATERIAS PRIMAS'!$B$5:$F$104,5,FALSE),0)</f>
        <v>0</v>
      </c>
      <c r="G284" s="33">
        <f t="shared" si="1"/>
        <v>0</v>
      </c>
      <c r="H284" s="36" t="n">
        <f>IFERROR(D284/VLOOKUP(A284,PRODUCTOS!$A$6:$D$35,4,FALSE),0)</f>
        <v>0</v>
      </c>
      <c r="I284" s="386"/>
      <c r="J284" s="3"/>
      <c r="K284" s="3"/>
      <c r="L284" s="3"/>
      <c r="M284" s="3"/>
    </row>
    <row r="285" ht="15.75" customHeight="1">
      <c r="A285" s="386"/>
      <c r="B285" s="26" t="str">
        <f>IFERROR(VLOOKUP(A285,PRODUCTOS!$A$6:$B$35,2,FALSE),"")</f>
      </c>
      <c r="C285" s="386"/>
      <c r="D285" s="386"/>
      <c r="E285" s="386"/>
      <c r="F285" s="33" t="n">
        <f>IFERROR(VLOOKUP(C285,'MATERIAS PRIMAS'!$B$5:$F$104,5,FALSE),0)</f>
        <v>0</v>
      </c>
      <c r="G285" s="33">
        <f t="shared" si="1"/>
        <v>0</v>
      </c>
      <c r="H285" s="36" t="n">
        <f>IFERROR(D285/VLOOKUP(A285,PRODUCTOS!$A$6:$D$35,4,FALSE),0)</f>
        <v>0</v>
      </c>
      <c r="I285" s="386"/>
      <c r="J285" s="3"/>
      <c r="K285" s="3"/>
      <c r="L285" s="3"/>
      <c r="M285" s="3"/>
    </row>
    <row r="286" ht="15.75" customHeight="1">
      <c r="A286" s="386"/>
      <c r="B286" s="26" t="str">
        <f>IFERROR(VLOOKUP(A286,PRODUCTOS!$A$6:$B$35,2,FALSE),"")</f>
      </c>
      <c r="C286" s="386"/>
      <c r="D286" s="386"/>
      <c r="E286" s="386"/>
      <c r="F286" s="33" t="n">
        <f>IFERROR(VLOOKUP(C286,'MATERIAS PRIMAS'!$B$5:$F$104,5,FALSE),0)</f>
        <v>0</v>
      </c>
      <c r="G286" s="33">
        <f t="shared" si="1"/>
        <v>0</v>
      </c>
      <c r="H286" s="36" t="n">
        <f>IFERROR(D286/VLOOKUP(A286,PRODUCTOS!$A$6:$D$35,4,FALSE),0)</f>
        <v>0</v>
      </c>
      <c r="I286" s="386"/>
      <c r="J286" s="3"/>
      <c r="K286" s="3"/>
      <c r="L286" s="3"/>
      <c r="M286" s="3"/>
    </row>
    <row r="287" ht="15.75" customHeight="1">
      <c r="A287" s="386"/>
      <c r="B287" s="26" t="str">
        <f>IFERROR(VLOOKUP(A287,PRODUCTOS!$A$6:$B$35,2,FALSE),"")</f>
      </c>
      <c r="C287" s="386"/>
      <c r="D287" s="386"/>
      <c r="E287" s="386"/>
      <c r="F287" s="33" t="n">
        <f>IFERROR(VLOOKUP(C287,'MATERIAS PRIMAS'!$B$5:$F$104,5,FALSE),0)</f>
        <v>0</v>
      </c>
      <c r="G287" s="33">
        <f t="shared" si="1"/>
        <v>0</v>
      </c>
      <c r="H287" s="36" t="n">
        <f>IFERROR(D287/VLOOKUP(A287,PRODUCTOS!$A$6:$D$35,4,FALSE),0)</f>
        <v>0</v>
      </c>
      <c r="I287" s="386"/>
      <c r="J287" s="3"/>
      <c r="K287" s="3"/>
      <c r="L287" s="3"/>
      <c r="M287" s="3"/>
    </row>
    <row r="288" ht="15.75" customHeight="1">
      <c r="A288" s="386"/>
      <c r="B288" s="26" t="str">
        <f>IFERROR(VLOOKUP(A288,PRODUCTOS!$A$6:$B$35,2,FALSE),"")</f>
      </c>
      <c r="C288" s="386"/>
      <c r="D288" s="386"/>
      <c r="E288" s="386"/>
      <c r="F288" s="33" t="n">
        <f>IFERROR(VLOOKUP(C288,'MATERIAS PRIMAS'!$B$5:$F$104,5,FALSE),0)</f>
        <v>0</v>
      </c>
      <c r="G288" s="33">
        <f t="shared" si="1"/>
        <v>0</v>
      </c>
      <c r="H288" s="36" t="n">
        <f>IFERROR(D288/VLOOKUP(A288,PRODUCTOS!$A$6:$D$35,4,FALSE),0)</f>
        <v>0</v>
      </c>
      <c r="I288" s="386"/>
      <c r="J288" s="3"/>
      <c r="K288" s="3"/>
      <c r="L288" s="3"/>
      <c r="M288" s="3"/>
    </row>
    <row r="289" ht="15.75" customHeight="1">
      <c r="A289" s="386"/>
      <c r="B289" s="26" t="str">
        <f>IFERROR(VLOOKUP(A289,PRODUCTOS!$A$6:$B$35,2,FALSE),"")</f>
      </c>
      <c r="C289" s="386"/>
      <c r="D289" s="386"/>
      <c r="E289" s="386"/>
      <c r="F289" s="33" t="n">
        <f>IFERROR(VLOOKUP(C289,'MATERIAS PRIMAS'!$B$5:$F$104,5,FALSE),0)</f>
        <v>0</v>
      </c>
      <c r="G289" s="33">
        <f t="shared" si="1"/>
        <v>0</v>
      </c>
      <c r="H289" s="36" t="n">
        <f>IFERROR(D289/VLOOKUP(A289,PRODUCTOS!$A$6:$D$35,4,FALSE),0)</f>
        <v>0</v>
      </c>
      <c r="I289" s="386"/>
      <c r="J289" s="3"/>
      <c r="K289" s="3"/>
      <c r="L289" s="3"/>
      <c r="M289" s="3"/>
    </row>
    <row r="290" ht="15.75" customHeight="1">
      <c r="A290" s="386"/>
      <c r="B290" s="26" t="str">
        <f>IFERROR(VLOOKUP(A290,PRODUCTOS!$A$6:$B$35,2,FALSE),"")</f>
      </c>
      <c r="C290" s="386"/>
      <c r="D290" s="386"/>
      <c r="E290" s="386"/>
      <c r="F290" s="33" t="n">
        <f>IFERROR(VLOOKUP(C290,'MATERIAS PRIMAS'!$B$5:$F$104,5,FALSE),0)</f>
        <v>0</v>
      </c>
      <c r="G290" s="33">
        <f t="shared" si="1"/>
        <v>0</v>
      </c>
      <c r="H290" s="36" t="n">
        <f>IFERROR(D290/VLOOKUP(A290,PRODUCTOS!$A$6:$D$35,4,FALSE),0)</f>
        <v>0</v>
      </c>
      <c r="I290" s="386"/>
      <c r="J290" s="3"/>
      <c r="K290" s="3"/>
      <c r="L290" s="3"/>
      <c r="M290" s="3"/>
    </row>
    <row r="291" ht="15.75" customHeight="1">
      <c r="A291" s="386"/>
      <c r="B291" s="26" t="str">
        <f>IFERROR(VLOOKUP(A291,PRODUCTOS!$A$6:$B$35,2,FALSE),"")</f>
      </c>
      <c r="C291" s="386"/>
      <c r="D291" s="386"/>
      <c r="E291" s="386"/>
      <c r="F291" s="33" t="n">
        <f>IFERROR(VLOOKUP(C291,'MATERIAS PRIMAS'!$B$5:$F$104,5,FALSE),0)</f>
        <v>0</v>
      </c>
      <c r="G291" s="33">
        <f t="shared" si="1"/>
        <v>0</v>
      </c>
      <c r="H291" s="36" t="n">
        <f>IFERROR(D291/VLOOKUP(A291,PRODUCTOS!$A$6:$D$35,4,FALSE),0)</f>
        <v>0</v>
      </c>
      <c r="I291" s="386"/>
      <c r="J291" s="3"/>
      <c r="K291" s="3"/>
      <c r="L291" s="3"/>
      <c r="M291" s="3"/>
    </row>
    <row r="292" ht="15.75" customHeight="1">
      <c r="A292" s="386"/>
      <c r="B292" s="26" t="str">
        <f>IFERROR(VLOOKUP(A292,PRODUCTOS!$A$6:$B$35,2,FALSE),"")</f>
      </c>
      <c r="C292" s="386"/>
      <c r="D292" s="386"/>
      <c r="E292" s="386"/>
      <c r="F292" s="33" t="n">
        <f>IFERROR(VLOOKUP(C292,'MATERIAS PRIMAS'!$B$5:$F$104,5,FALSE),0)</f>
        <v>0</v>
      </c>
      <c r="G292" s="33">
        <f t="shared" si="1"/>
        <v>0</v>
      </c>
      <c r="H292" s="36" t="n">
        <f>IFERROR(D292/VLOOKUP(A292,PRODUCTOS!$A$6:$D$35,4,FALSE),0)</f>
        <v>0</v>
      </c>
      <c r="I292" s="386"/>
      <c r="J292" s="3"/>
      <c r="K292" s="3"/>
      <c r="L292" s="3"/>
      <c r="M292" s="3"/>
    </row>
    <row r="293" ht="15.75" customHeight="1">
      <c r="A293" s="386"/>
      <c r="B293" s="26" t="str">
        <f>IFERROR(VLOOKUP(A293,PRODUCTOS!$A$6:$B$35,2,FALSE),"")</f>
      </c>
      <c r="C293" s="386"/>
      <c r="D293" s="386"/>
      <c r="E293" s="386"/>
      <c r="F293" s="33" t="n">
        <f>IFERROR(VLOOKUP(C293,'MATERIAS PRIMAS'!$B$5:$F$104,5,FALSE),0)</f>
        <v>0</v>
      </c>
      <c r="G293" s="33">
        <f t="shared" si="1"/>
        <v>0</v>
      </c>
      <c r="H293" s="36" t="n">
        <f>IFERROR(D293/VLOOKUP(A293,PRODUCTOS!$A$6:$D$35,4,FALSE),0)</f>
        <v>0</v>
      </c>
      <c r="I293" s="386"/>
      <c r="J293" s="3"/>
      <c r="K293" s="3"/>
      <c r="L293" s="3"/>
      <c r="M293" s="3"/>
    </row>
    <row r="294" ht="15.75" customHeight="1">
      <c r="A294" s="386"/>
      <c r="B294" s="26" t="str">
        <f>IFERROR(VLOOKUP(A294,PRODUCTOS!$A$6:$B$35,2,FALSE),"")</f>
      </c>
      <c r="C294" s="386"/>
      <c r="D294" s="386"/>
      <c r="E294" s="386"/>
      <c r="F294" s="33" t="n">
        <f>IFERROR(VLOOKUP(C294,'MATERIAS PRIMAS'!$B$5:$F$104,5,FALSE),0)</f>
        <v>0</v>
      </c>
      <c r="G294" s="33">
        <f t="shared" si="1"/>
        <v>0</v>
      </c>
      <c r="H294" s="36" t="n">
        <f>IFERROR(D294/VLOOKUP(A294,PRODUCTOS!$A$6:$D$35,4,FALSE),0)</f>
        <v>0</v>
      </c>
      <c r="I294" s="386"/>
      <c r="J294" s="3"/>
      <c r="K294" s="3"/>
      <c r="L294" s="3"/>
      <c r="M294" s="3"/>
    </row>
    <row r="295" ht="15.75" customHeight="1">
      <c r="A295" s="386"/>
      <c r="B295" s="26" t="str">
        <f>IFERROR(VLOOKUP(A295,PRODUCTOS!$A$6:$B$35,2,FALSE),"")</f>
      </c>
      <c r="C295" s="386"/>
      <c r="D295" s="386"/>
      <c r="E295" s="386"/>
      <c r="F295" s="33" t="n">
        <f>IFERROR(VLOOKUP(C295,'MATERIAS PRIMAS'!$B$5:$F$104,5,FALSE),0)</f>
        <v>0</v>
      </c>
      <c r="G295" s="33">
        <f t="shared" si="1"/>
        <v>0</v>
      </c>
      <c r="H295" s="36" t="n">
        <f>IFERROR(D295/VLOOKUP(A295,PRODUCTOS!$A$6:$D$35,4,FALSE),0)</f>
        <v>0</v>
      </c>
      <c r="I295" s="386"/>
      <c r="J295" s="3"/>
      <c r="K295" s="3"/>
      <c r="L295" s="3"/>
      <c r="M295" s="3"/>
    </row>
    <row r="296" ht="15.75" customHeight="1">
      <c r="A296" s="386"/>
      <c r="B296" s="26" t="str">
        <f>IFERROR(VLOOKUP(A296,PRODUCTOS!$A$6:$B$35,2,FALSE),"")</f>
      </c>
      <c r="C296" s="386"/>
      <c r="D296" s="386"/>
      <c r="E296" s="386"/>
      <c r="F296" s="33" t="n">
        <f>IFERROR(VLOOKUP(C296,'MATERIAS PRIMAS'!$B$5:$F$104,5,FALSE),0)</f>
        <v>0</v>
      </c>
      <c r="G296" s="33">
        <f t="shared" si="1"/>
        <v>0</v>
      </c>
      <c r="H296" s="36" t="n">
        <f>IFERROR(D296/VLOOKUP(A296,PRODUCTOS!$A$6:$D$35,4,FALSE),0)</f>
        <v>0</v>
      </c>
      <c r="I296" s="386"/>
      <c r="J296" s="3"/>
      <c r="K296" s="3"/>
      <c r="L296" s="3"/>
      <c r="M296" s="3"/>
    </row>
    <row r="297" ht="15.75" customHeight="1">
      <c r="A297" s="386"/>
      <c r="B297" s="26" t="str">
        <f>IFERROR(VLOOKUP(A297,PRODUCTOS!$A$6:$B$35,2,FALSE),"")</f>
      </c>
      <c r="C297" s="386"/>
      <c r="D297" s="386"/>
      <c r="E297" s="386"/>
      <c r="F297" s="33" t="n">
        <f>IFERROR(VLOOKUP(C297,'MATERIAS PRIMAS'!$B$5:$F$104,5,FALSE),0)</f>
        <v>0</v>
      </c>
      <c r="G297" s="33">
        <f t="shared" si="1"/>
        <v>0</v>
      </c>
      <c r="H297" s="36" t="n">
        <f>IFERROR(D297/VLOOKUP(A297,PRODUCTOS!$A$6:$D$35,4,FALSE),0)</f>
        <v>0</v>
      </c>
      <c r="I297" s="386"/>
      <c r="J297" s="3"/>
      <c r="K297" s="3"/>
      <c r="L297" s="3"/>
      <c r="M297" s="3"/>
    </row>
    <row r="298" ht="15.75" customHeight="1">
      <c r="A298" s="386"/>
      <c r="B298" s="26" t="str">
        <f>IFERROR(VLOOKUP(A298,PRODUCTOS!$A$6:$B$35,2,FALSE),"")</f>
      </c>
      <c r="C298" s="386"/>
      <c r="D298" s="386"/>
      <c r="E298" s="386"/>
      <c r="F298" s="33" t="n">
        <f>IFERROR(VLOOKUP(C298,'MATERIAS PRIMAS'!$B$5:$F$104,5,FALSE),0)</f>
        <v>0</v>
      </c>
      <c r="G298" s="33">
        <f t="shared" si="1"/>
        <v>0</v>
      </c>
      <c r="H298" s="36" t="n">
        <f>IFERROR(D298/VLOOKUP(A298,PRODUCTOS!$A$6:$D$35,4,FALSE),0)</f>
        <v>0</v>
      </c>
      <c r="I298" s="386"/>
      <c r="J298" s="3"/>
      <c r="K298" s="3"/>
      <c r="L298" s="3"/>
      <c r="M298" s="3"/>
    </row>
    <row r="299" ht="15.75" customHeight="1">
      <c r="A299" s="386"/>
      <c r="B299" s="26" t="str">
        <f>IFERROR(VLOOKUP(A299,PRODUCTOS!$A$6:$B$35,2,FALSE),"")</f>
      </c>
      <c r="C299" s="386"/>
      <c r="D299" s="386"/>
      <c r="E299" s="386"/>
      <c r="F299" s="33" t="n">
        <f>IFERROR(VLOOKUP(C299,'MATERIAS PRIMAS'!$B$5:$F$104,5,FALSE),0)</f>
        <v>0</v>
      </c>
      <c r="G299" s="33">
        <f t="shared" si="1"/>
        <v>0</v>
      </c>
      <c r="H299" s="36" t="n">
        <f>IFERROR(D299/VLOOKUP(A299,PRODUCTOS!$A$6:$D$35,4,FALSE),0)</f>
        <v>0</v>
      </c>
      <c r="I299" s="386"/>
      <c r="J299" s="3"/>
      <c r="K299" s="3"/>
      <c r="L299" s="3"/>
      <c r="M299" s="3"/>
    </row>
    <row r="300" ht="15.75" customHeight="1">
      <c r="A300" s="386"/>
      <c r="B300" s="26" t="str">
        <f>IFERROR(VLOOKUP(A300,PRODUCTOS!$A$6:$B$35,2,FALSE),"")</f>
      </c>
      <c r="C300" s="386"/>
      <c r="D300" s="386"/>
      <c r="E300" s="386"/>
      <c r="F300" s="33" t="n">
        <f>IFERROR(VLOOKUP(C300,'MATERIAS PRIMAS'!$B$5:$F$104,5,FALSE),0)</f>
        <v>0</v>
      </c>
      <c r="G300" s="33">
        <f t="shared" si="1"/>
        <v>0</v>
      </c>
      <c r="H300" s="36" t="n">
        <f>IFERROR(D300/VLOOKUP(A300,PRODUCTOS!$A$6:$D$35,4,FALSE),0)</f>
        <v>0</v>
      </c>
      <c r="I300" s="386"/>
      <c r="J300" s="3"/>
      <c r="K300" s="3"/>
      <c r="L300" s="3"/>
      <c r="M300" s="3"/>
    </row>
    <row r="301" ht="15.75" customHeight="1">
      <c r="A301" s="386"/>
      <c r="B301" s="26" t="str">
        <f>IFERROR(VLOOKUP(A301,PRODUCTOS!$A$6:$B$35,2,FALSE),"")</f>
      </c>
      <c r="C301" s="386"/>
      <c r="D301" s="386"/>
      <c r="E301" s="386"/>
      <c r="F301" s="33" t="n">
        <f>IFERROR(VLOOKUP(C301,'MATERIAS PRIMAS'!$B$5:$F$104,5,FALSE),0)</f>
        <v>0</v>
      </c>
      <c r="G301" s="33">
        <f t="shared" si="1"/>
        <v>0</v>
      </c>
      <c r="H301" s="36" t="n">
        <f>IFERROR(D301/VLOOKUP(A301,PRODUCTOS!$A$6:$D$35,4,FALSE),0)</f>
        <v>0</v>
      </c>
      <c r="I301" s="386"/>
      <c r="J301" s="3"/>
      <c r="K301" s="3"/>
      <c r="L301" s="3"/>
      <c r="M301" s="3"/>
    </row>
    <row r="302" ht="15.75" customHeight="1">
      <c r="A302" s="386"/>
      <c r="B302" s="26" t="str">
        <f>IFERROR(VLOOKUP(A302,PRODUCTOS!$A$6:$B$35,2,FALSE),"")</f>
      </c>
      <c r="C302" s="386"/>
      <c r="D302" s="386"/>
      <c r="E302" s="386"/>
      <c r="F302" s="33" t="n">
        <f>IFERROR(VLOOKUP(C302,'MATERIAS PRIMAS'!$B$5:$F$104,5,FALSE),0)</f>
        <v>0</v>
      </c>
      <c r="G302" s="33">
        <f t="shared" si="1"/>
        <v>0</v>
      </c>
      <c r="H302" s="36" t="n">
        <f>IFERROR(D302/VLOOKUP(A302,PRODUCTOS!$A$6:$D$35,4,FALSE),0)</f>
        <v>0</v>
      </c>
      <c r="I302" s="386"/>
      <c r="J302" s="3"/>
      <c r="K302" s="3"/>
      <c r="L302" s="3"/>
      <c r="M302" s="3"/>
    </row>
    <row r="303" ht="15.75" customHeight="1">
      <c r="A303" s="386"/>
      <c r="B303" s="26" t="str">
        <f>IFERROR(VLOOKUP(A303,PRODUCTOS!$A$6:$B$35,2,FALSE),"")</f>
      </c>
      <c r="C303" s="386"/>
      <c r="D303" s="386"/>
      <c r="E303" s="386"/>
      <c r="F303" s="33" t="n">
        <f>IFERROR(VLOOKUP(C303,'MATERIAS PRIMAS'!$B$5:$F$104,5,FALSE),0)</f>
        <v>0</v>
      </c>
      <c r="G303" s="33">
        <f t="shared" si="1"/>
        <v>0</v>
      </c>
      <c r="H303" s="36" t="n">
        <f>IFERROR(D303/VLOOKUP(A303,PRODUCTOS!$A$6:$D$35,4,FALSE),0)</f>
        <v>0</v>
      </c>
      <c r="I303" s="386"/>
      <c r="J303" s="3"/>
      <c r="K303" s="3"/>
      <c r="L303" s="3"/>
      <c r="M303" s="3"/>
    </row>
    <row r="304" ht="15.75" customHeight="1">
      <c r="A304" s="386"/>
      <c r="B304" s="26" t="str">
        <f>IFERROR(VLOOKUP(A304,PRODUCTOS!$A$6:$B$35,2,FALSE),"")</f>
      </c>
      <c r="C304" s="386"/>
      <c r="D304" s="386"/>
      <c r="E304" s="386"/>
      <c r="F304" s="33" t="n">
        <f>IFERROR(VLOOKUP(C304,'MATERIAS PRIMAS'!$B$5:$F$104,5,FALSE),0)</f>
        <v>0</v>
      </c>
      <c r="G304" s="33">
        <f t="shared" si="1"/>
        <v>0</v>
      </c>
      <c r="H304" s="36" t="n">
        <f>IFERROR(D304/VLOOKUP(A304,PRODUCTOS!$A$6:$D$35,4,FALSE),0)</f>
        <v>0</v>
      </c>
      <c r="I304" s="386"/>
      <c r="J304" s="3"/>
      <c r="K304" s="3"/>
      <c r="L304" s="3"/>
      <c r="M304" s="3"/>
    </row>
    <row r="305" ht="15.75" customHeight="1">
      <c r="A305" s="386"/>
      <c r="B305" s="26" t="str">
        <f>IFERROR(VLOOKUP(A305,PRODUCTOS!$A$6:$B$35,2,FALSE),"")</f>
      </c>
      <c r="C305" s="386"/>
      <c r="D305" s="386"/>
      <c r="E305" s="386"/>
      <c r="F305" s="33" t="n">
        <f>IFERROR(VLOOKUP(C305,'MATERIAS PRIMAS'!$B$5:$F$104,5,FALSE),0)</f>
        <v>0</v>
      </c>
      <c r="G305" s="33">
        <f t="shared" si="1"/>
        <v>0</v>
      </c>
      <c r="H305" s="36" t="n">
        <f>IFERROR(D305/VLOOKUP(A305,PRODUCTOS!$A$6:$D$35,4,FALSE),0)</f>
        <v>0</v>
      </c>
      <c r="I305" s="386"/>
      <c r="J305" s="3"/>
      <c r="K305" s="3"/>
      <c r="L305" s="3"/>
      <c r="M305" s="3"/>
    </row>
    <row r="306" ht="15.75" customHeight="1">
      <c r="A306" s="386"/>
      <c r="B306" s="26" t="str">
        <f>IFERROR(VLOOKUP(A306,PRODUCTOS!$A$6:$B$35,2,FALSE),"")</f>
      </c>
      <c r="C306" s="386"/>
      <c r="D306" s="386"/>
      <c r="E306" s="386"/>
      <c r="F306" s="33" t="n">
        <f>IFERROR(VLOOKUP(C306,'MATERIAS PRIMAS'!$B$5:$F$104,5,FALSE),0)</f>
        <v>0</v>
      </c>
      <c r="G306" s="33">
        <f t="shared" si="1"/>
        <v>0</v>
      </c>
      <c r="H306" s="36" t="n">
        <f>IFERROR(D306/VLOOKUP(A306,PRODUCTOS!$A$6:$D$35,4,FALSE),0)</f>
        <v>0</v>
      </c>
      <c r="I306" s="386"/>
      <c r="J306" s="3"/>
      <c r="K306" s="3"/>
      <c r="L306" s="3"/>
      <c r="M306" s="3"/>
    </row>
    <row r="307" ht="15.75" customHeight="1">
      <c r="A307" s="386"/>
      <c r="B307" s="26" t="str">
        <f>IFERROR(VLOOKUP(A307,PRODUCTOS!$A$6:$B$35,2,FALSE),"")</f>
      </c>
      <c r="C307" s="386"/>
      <c r="D307" s="386"/>
      <c r="E307" s="386"/>
      <c r="F307" s="33" t="n">
        <f>IFERROR(VLOOKUP(C307,'MATERIAS PRIMAS'!$B$5:$F$104,5,FALSE),0)</f>
        <v>0</v>
      </c>
      <c r="G307" s="33">
        <f t="shared" si="1"/>
        <v>0</v>
      </c>
      <c r="H307" s="36" t="n">
        <f>IFERROR(D307/VLOOKUP(A307,PRODUCTOS!$A$6:$D$35,4,FALSE),0)</f>
        <v>0</v>
      </c>
      <c r="I307" s="386"/>
      <c r="J307" s="3"/>
      <c r="K307" s="3"/>
      <c r="L307" s="3"/>
      <c r="M307" s="3"/>
    </row>
    <row r="308" ht="15.75" customHeight="1">
      <c r="A308" s="386"/>
      <c r="B308" s="26" t="str">
        <f>IFERROR(VLOOKUP(A308,PRODUCTOS!$A$6:$B$35,2,FALSE),"")</f>
      </c>
      <c r="C308" s="386"/>
      <c r="D308" s="386"/>
      <c r="E308" s="386"/>
      <c r="F308" s="33" t="n">
        <f>IFERROR(VLOOKUP(C308,'MATERIAS PRIMAS'!$B$5:$F$104,5,FALSE),0)</f>
        <v>0</v>
      </c>
      <c r="G308" s="33">
        <f t="shared" si="1"/>
        <v>0</v>
      </c>
      <c r="H308" s="36" t="n">
        <f>IFERROR(D308/VLOOKUP(A308,PRODUCTOS!$A$6:$D$35,4,FALSE),0)</f>
        <v>0</v>
      </c>
      <c r="I308" s="386"/>
      <c r="J308" s="3"/>
      <c r="K308" s="3"/>
      <c r="L308" s="3"/>
      <c r="M308" s="3"/>
    </row>
    <row r="309" ht="15.75" customHeight="1">
      <c r="A309" s="386"/>
      <c r="B309" s="26" t="str">
        <f>IFERROR(VLOOKUP(A309,PRODUCTOS!$A$6:$B$35,2,FALSE),"")</f>
      </c>
      <c r="C309" s="386"/>
      <c r="D309" s="386"/>
      <c r="E309" s="386"/>
      <c r="F309" s="33" t="n">
        <f>IFERROR(VLOOKUP(C309,'MATERIAS PRIMAS'!$B$5:$F$104,5,FALSE),0)</f>
        <v>0</v>
      </c>
      <c r="G309" s="33">
        <f t="shared" si="1"/>
        <v>0</v>
      </c>
      <c r="H309" s="36" t="n">
        <f>IFERROR(D309/VLOOKUP(A309,PRODUCTOS!$A$6:$D$35,4,FALSE),0)</f>
        <v>0</v>
      </c>
      <c r="I309" s="386"/>
      <c r="J309" s="3"/>
      <c r="K309" s="3"/>
      <c r="L309" s="3"/>
      <c r="M309" s="3"/>
    </row>
    <row r="310" ht="15.75" customHeight="1">
      <c r="A310" s="386"/>
      <c r="B310" s="26" t="str">
        <f>IFERROR(VLOOKUP(A310,PRODUCTOS!$A$6:$B$35,2,FALSE),"")</f>
      </c>
      <c r="C310" s="386"/>
      <c r="D310" s="386"/>
      <c r="E310" s="386"/>
      <c r="F310" s="33" t="n">
        <f>IFERROR(VLOOKUP(C310,'MATERIAS PRIMAS'!$B$5:$F$104,5,FALSE),0)</f>
        <v>0</v>
      </c>
      <c r="G310" s="33">
        <f t="shared" si="1"/>
        <v>0</v>
      </c>
      <c r="H310" s="36" t="n">
        <f>IFERROR(D310/VLOOKUP(A310,PRODUCTOS!$A$6:$D$35,4,FALSE),0)</f>
        <v>0</v>
      </c>
      <c r="I310" s="386"/>
      <c r="J310" s="3"/>
      <c r="K310" s="3"/>
      <c r="L310" s="3"/>
      <c r="M310" s="3"/>
    </row>
    <row r="311" ht="15.75" customHeight="1">
      <c r="A311" s="386"/>
      <c r="B311" s="26" t="str">
        <f>IFERROR(VLOOKUP(A311,PRODUCTOS!$A$6:$B$35,2,FALSE),"")</f>
      </c>
      <c r="C311" s="386"/>
      <c r="D311" s="386"/>
      <c r="E311" s="386"/>
      <c r="F311" s="33" t="n">
        <f>IFERROR(VLOOKUP(C311,'MATERIAS PRIMAS'!$B$5:$F$104,5,FALSE),0)</f>
        <v>0</v>
      </c>
      <c r="G311" s="33">
        <f t="shared" si="1"/>
        <v>0</v>
      </c>
      <c r="H311" s="36" t="n">
        <f>IFERROR(D311/VLOOKUP(A311,PRODUCTOS!$A$6:$D$35,4,FALSE),0)</f>
        <v>0</v>
      </c>
      <c r="I311" s="386"/>
      <c r="J311" s="3"/>
      <c r="K311" s="3"/>
      <c r="L311" s="3"/>
      <c r="M311" s="3"/>
    </row>
    <row r="312" ht="15.75" customHeight="1">
      <c r="A312" s="386"/>
      <c r="B312" s="26" t="str">
        <f>IFERROR(VLOOKUP(A312,PRODUCTOS!$A$6:$B$35,2,FALSE),"")</f>
      </c>
      <c r="C312" s="386"/>
      <c r="D312" s="386"/>
      <c r="E312" s="386"/>
      <c r="F312" s="33" t="n">
        <f>IFERROR(VLOOKUP(C312,'MATERIAS PRIMAS'!$B$5:$F$104,5,FALSE),0)</f>
        <v>0</v>
      </c>
      <c r="G312" s="33">
        <f t="shared" si="1"/>
        <v>0</v>
      </c>
      <c r="H312" s="36" t="n">
        <f>IFERROR(D312/VLOOKUP(A312,PRODUCTOS!$A$6:$D$35,4,FALSE),0)</f>
        <v>0</v>
      </c>
      <c r="I312" s="386"/>
      <c r="J312" s="3"/>
      <c r="K312" s="3"/>
      <c r="L312" s="3"/>
      <c r="M312" s="3"/>
    </row>
    <row r="313" ht="15.75" customHeight="1">
      <c r="A313" s="386"/>
      <c r="B313" s="26" t="str">
        <f>IFERROR(VLOOKUP(A313,PRODUCTOS!$A$6:$B$35,2,FALSE),"")</f>
      </c>
      <c r="C313" s="386"/>
      <c r="D313" s="386"/>
      <c r="E313" s="386"/>
      <c r="F313" s="33" t="n">
        <f>IFERROR(VLOOKUP(C313,'MATERIAS PRIMAS'!$B$5:$F$104,5,FALSE),0)</f>
        <v>0</v>
      </c>
      <c r="G313" s="33">
        <f t="shared" si="1"/>
        <v>0</v>
      </c>
      <c r="H313" s="36" t="n">
        <f>IFERROR(D313/VLOOKUP(A313,PRODUCTOS!$A$6:$D$35,4,FALSE),0)</f>
        <v>0</v>
      </c>
      <c r="I313" s="386"/>
      <c r="J313" s="3"/>
      <c r="K313" s="3"/>
      <c r="L313" s="3"/>
      <c r="M313" s="3"/>
    </row>
    <row r="314" ht="15.75" customHeight="1">
      <c r="A314" s="386"/>
      <c r="B314" s="26" t="str">
        <f>IFERROR(VLOOKUP(A314,PRODUCTOS!$A$6:$B$35,2,FALSE),"")</f>
      </c>
      <c r="C314" s="386"/>
      <c r="D314" s="386"/>
      <c r="E314" s="386"/>
      <c r="F314" s="33" t="n">
        <f>IFERROR(VLOOKUP(C314,'MATERIAS PRIMAS'!$B$5:$F$104,5,FALSE),0)</f>
        <v>0</v>
      </c>
      <c r="G314" s="33">
        <f t="shared" si="1"/>
        <v>0</v>
      </c>
      <c r="H314" s="36" t="n">
        <f>IFERROR(D314/VLOOKUP(A314,PRODUCTOS!$A$6:$D$35,4,FALSE),0)</f>
        <v>0</v>
      </c>
      <c r="I314" s="386"/>
      <c r="J314" s="3"/>
      <c r="K314" s="3"/>
      <c r="L314" s="3"/>
      <c r="M314" s="3"/>
    </row>
    <row r="315" ht="15.75" customHeight="1">
      <c r="A315" s="386"/>
      <c r="B315" s="26" t="str">
        <f>IFERROR(VLOOKUP(A315,PRODUCTOS!$A$6:$B$35,2,FALSE),"")</f>
      </c>
      <c r="C315" s="386"/>
      <c r="D315" s="386"/>
      <c r="E315" s="386"/>
      <c r="F315" s="33" t="n">
        <f>IFERROR(VLOOKUP(C315,'MATERIAS PRIMAS'!$B$5:$F$104,5,FALSE),0)</f>
        <v>0</v>
      </c>
      <c r="G315" s="33">
        <f t="shared" si="1"/>
        <v>0</v>
      </c>
      <c r="H315" s="36" t="n">
        <f>IFERROR(D315/VLOOKUP(A315,PRODUCTOS!$A$6:$D$35,4,FALSE),0)</f>
        <v>0</v>
      </c>
      <c r="I315" s="386"/>
      <c r="J315" s="3"/>
      <c r="K315" s="3"/>
      <c r="L315" s="3"/>
      <c r="M315" s="3"/>
    </row>
    <row r="316" ht="15.75" customHeight="1">
      <c r="A316" s="386"/>
      <c r="B316" s="26" t="str">
        <f>IFERROR(VLOOKUP(A316,PRODUCTOS!$A$6:$B$35,2,FALSE),"")</f>
      </c>
      <c r="C316" s="386"/>
      <c r="D316" s="386"/>
      <c r="E316" s="386"/>
      <c r="F316" s="33" t="n">
        <f>IFERROR(VLOOKUP(C316,'MATERIAS PRIMAS'!$B$5:$F$104,5,FALSE),0)</f>
        <v>0</v>
      </c>
      <c r="G316" s="33">
        <f t="shared" si="1"/>
        <v>0</v>
      </c>
      <c r="H316" s="36" t="n">
        <f>IFERROR(D316/VLOOKUP(A316,PRODUCTOS!$A$6:$D$35,4,FALSE),0)</f>
        <v>0</v>
      </c>
      <c r="I316" s="386"/>
      <c r="J316" s="3"/>
      <c r="K316" s="3"/>
      <c r="L316" s="3"/>
      <c r="M316" s="3"/>
    </row>
    <row r="317" ht="15.75" customHeight="1">
      <c r="A317" s="386"/>
      <c r="B317" s="26" t="str">
        <f>IFERROR(VLOOKUP(A317,PRODUCTOS!$A$6:$B$35,2,FALSE),"")</f>
      </c>
      <c r="C317" s="386"/>
      <c r="D317" s="386"/>
      <c r="E317" s="386"/>
      <c r="F317" s="33" t="n">
        <f>IFERROR(VLOOKUP(C317,'MATERIAS PRIMAS'!$B$5:$F$104,5,FALSE),0)</f>
        <v>0</v>
      </c>
      <c r="G317" s="33">
        <f t="shared" si="1"/>
        <v>0</v>
      </c>
      <c r="H317" s="36" t="n">
        <f>IFERROR(D317/VLOOKUP(A317,PRODUCTOS!$A$6:$D$35,4,FALSE),0)</f>
        <v>0</v>
      </c>
      <c r="I317" s="386"/>
      <c r="J317" s="3"/>
      <c r="K317" s="3"/>
      <c r="L317" s="3"/>
      <c r="M317" s="3"/>
    </row>
    <row r="318" ht="15.75" customHeight="1">
      <c r="A318" s="386"/>
      <c r="B318" s="26" t="str">
        <f>IFERROR(VLOOKUP(A318,PRODUCTOS!$A$6:$B$35,2,FALSE),"")</f>
      </c>
      <c r="C318" s="386"/>
      <c r="D318" s="386"/>
      <c r="E318" s="386"/>
      <c r="F318" s="33" t="n">
        <f>IFERROR(VLOOKUP(C318,'MATERIAS PRIMAS'!$B$5:$F$104,5,FALSE),0)</f>
        <v>0</v>
      </c>
      <c r="G318" s="33">
        <f t="shared" si="1"/>
        <v>0</v>
      </c>
      <c r="H318" s="36" t="n">
        <f>IFERROR(D318/VLOOKUP(A318,PRODUCTOS!$A$6:$D$35,4,FALSE),0)</f>
        <v>0</v>
      </c>
      <c r="I318" s="386"/>
      <c r="J318" s="3"/>
      <c r="K318" s="3"/>
      <c r="L318" s="3"/>
      <c r="M318" s="3"/>
    </row>
    <row r="319" ht="15.75" customHeight="1">
      <c r="A319" s="386"/>
      <c r="B319" s="26" t="str">
        <f>IFERROR(VLOOKUP(A319,PRODUCTOS!$A$6:$B$35,2,FALSE),"")</f>
      </c>
      <c r="C319" s="386"/>
      <c r="D319" s="386"/>
      <c r="E319" s="386"/>
      <c r="F319" s="33" t="n">
        <f>IFERROR(VLOOKUP(C319,'MATERIAS PRIMAS'!$B$5:$F$104,5,FALSE),0)</f>
        <v>0</v>
      </c>
      <c r="G319" s="33">
        <f t="shared" si="1"/>
        <v>0</v>
      </c>
      <c r="H319" s="36" t="n">
        <f>IFERROR(D319/VLOOKUP(A319,PRODUCTOS!$A$6:$D$35,4,FALSE),0)</f>
        <v>0</v>
      </c>
      <c r="I319" s="386"/>
      <c r="J319" s="3"/>
      <c r="K319" s="3"/>
      <c r="L319" s="3"/>
      <c r="M319" s="3"/>
    </row>
    <row r="320" ht="15.75" customHeight="1">
      <c r="A320" s="386"/>
      <c r="B320" s="26" t="str">
        <f>IFERROR(VLOOKUP(A320,PRODUCTOS!$A$6:$B$35,2,FALSE),"")</f>
      </c>
      <c r="C320" s="386"/>
      <c r="D320" s="386"/>
      <c r="E320" s="386"/>
      <c r="F320" s="33" t="n">
        <f>IFERROR(VLOOKUP(C320,'MATERIAS PRIMAS'!$B$5:$F$104,5,FALSE),0)</f>
        <v>0</v>
      </c>
      <c r="G320" s="33">
        <f t="shared" si="1"/>
        <v>0</v>
      </c>
      <c r="H320" s="36" t="n">
        <f>IFERROR(D320/VLOOKUP(A320,PRODUCTOS!$A$6:$D$35,4,FALSE),0)</f>
        <v>0</v>
      </c>
      <c r="I320" s="386"/>
      <c r="J320" s="3"/>
      <c r="K320" s="3"/>
      <c r="L320" s="3"/>
      <c r="M320" s="3"/>
    </row>
    <row r="321" ht="15.75" customHeight="1">
      <c r="A321" s="386"/>
      <c r="B321" s="26" t="str">
        <f>IFERROR(VLOOKUP(A321,PRODUCTOS!$A$6:$B$35,2,FALSE),"")</f>
      </c>
      <c r="C321" s="386"/>
      <c r="D321" s="386"/>
      <c r="E321" s="386"/>
      <c r="F321" s="33" t="n">
        <f>IFERROR(VLOOKUP(C321,'MATERIAS PRIMAS'!$B$5:$F$104,5,FALSE),0)</f>
        <v>0</v>
      </c>
      <c r="G321" s="33">
        <f t="shared" si="1"/>
        <v>0</v>
      </c>
      <c r="H321" s="36" t="n">
        <f>IFERROR(D321/VLOOKUP(A321,PRODUCTOS!$A$6:$D$35,4,FALSE),0)</f>
        <v>0</v>
      </c>
      <c r="I321" s="386"/>
      <c r="J321" s="3"/>
      <c r="K321" s="3"/>
      <c r="L321" s="3"/>
      <c r="M321" s="3"/>
    </row>
    <row r="322" ht="15.75" customHeight="1">
      <c r="A322" s="386"/>
      <c r="B322" s="26" t="str">
        <f>IFERROR(VLOOKUP(A322,PRODUCTOS!$A$6:$B$35,2,FALSE),"")</f>
      </c>
      <c r="C322" s="386"/>
      <c r="D322" s="386"/>
      <c r="E322" s="386"/>
      <c r="F322" s="33" t="n">
        <f>IFERROR(VLOOKUP(C322,'MATERIAS PRIMAS'!$B$5:$F$104,5,FALSE),0)</f>
        <v>0</v>
      </c>
      <c r="G322" s="33">
        <f t="shared" si="1"/>
        <v>0</v>
      </c>
      <c r="H322" s="36" t="n">
        <f>IFERROR(D322/VLOOKUP(A322,PRODUCTOS!$A$6:$D$35,4,FALSE),0)</f>
        <v>0</v>
      </c>
      <c r="I322" s="386"/>
      <c r="J322" s="3"/>
      <c r="K322" s="3"/>
      <c r="L322" s="3"/>
      <c r="M322" s="3"/>
    </row>
    <row r="323" ht="15.75" customHeight="1">
      <c r="A323" s="386"/>
      <c r="B323" s="26" t="str">
        <f>IFERROR(VLOOKUP(A323,PRODUCTOS!$A$6:$B$35,2,FALSE),"")</f>
      </c>
      <c r="C323" s="386"/>
      <c r="D323" s="386"/>
      <c r="E323" s="386"/>
      <c r="F323" s="33" t="n">
        <f>IFERROR(VLOOKUP(C323,'MATERIAS PRIMAS'!$B$5:$F$104,5,FALSE),0)</f>
        <v>0</v>
      </c>
      <c r="G323" s="33">
        <f t="shared" si="1"/>
        <v>0</v>
      </c>
      <c r="H323" s="36" t="n">
        <f>IFERROR(D323/VLOOKUP(A323,PRODUCTOS!$A$6:$D$35,4,FALSE),0)</f>
        <v>0</v>
      </c>
      <c r="I323" s="386"/>
      <c r="J323" s="3"/>
      <c r="K323" s="3"/>
      <c r="L323" s="3"/>
      <c r="M323" s="3"/>
    </row>
    <row r="324" ht="15.75" customHeight="1">
      <c r="A324" s="386"/>
      <c r="B324" s="26" t="str">
        <f>IFERROR(VLOOKUP(A324,PRODUCTOS!$A$6:$B$35,2,FALSE),"")</f>
      </c>
      <c r="C324" s="386"/>
      <c r="D324" s="386"/>
      <c r="E324" s="386"/>
      <c r="F324" s="33" t="n">
        <f>IFERROR(VLOOKUP(C324,'MATERIAS PRIMAS'!$B$5:$F$104,5,FALSE),0)</f>
        <v>0</v>
      </c>
      <c r="G324" s="33">
        <f t="shared" si="1"/>
        <v>0</v>
      </c>
      <c r="H324" s="36" t="n">
        <f>IFERROR(D324/VLOOKUP(A324,PRODUCTOS!$A$6:$D$35,4,FALSE),0)</f>
        <v>0</v>
      </c>
      <c r="I324" s="386"/>
      <c r="J324" s="3"/>
      <c r="K324" s="3"/>
      <c r="L324" s="3"/>
      <c r="M324" s="3"/>
    </row>
    <row r="325" ht="15.75" customHeight="1">
      <c r="A325" s="386"/>
      <c r="B325" s="26" t="str">
        <f>IFERROR(VLOOKUP(A325,PRODUCTOS!$A$6:$B$35,2,FALSE),"")</f>
      </c>
      <c r="C325" s="386"/>
      <c r="D325" s="386"/>
      <c r="E325" s="386"/>
      <c r="F325" s="33" t="n">
        <f>IFERROR(VLOOKUP(C325,'MATERIAS PRIMAS'!$B$5:$F$104,5,FALSE),0)</f>
        <v>0</v>
      </c>
      <c r="G325" s="33">
        <f t="shared" si="1"/>
        <v>0</v>
      </c>
      <c r="H325" s="36" t="n">
        <f>IFERROR(D325/VLOOKUP(A325,PRODUCTOS!$A$6:$D$35,4,FALSE),0)</f>
        <v>0</v>
      </c>
      <c r="I325" s="386"/>
      <c r="J325" s="3"/>
      <c r="K325" s="3"/>
      <c r="L325" s="3"/>
      <c r="M325" s="3"/>
    </row>
    <row r="326" ht="15.75" customHeight="1">
      <c r="A326" s="386"/>
      <c r="B326" s="26" t="str">
        <f>IFERROR(VLOOKUP(A326,PRODUCTOS!$A$6:$B$35,2,FALSE),"")</f>
      </c>
      <c r="C326" s="386"/>
      <c r="D326" s="386"/>
      <c r="E326" s="386"/>
      <c r="F326" s="33" t="n">
        <f>IFERROR(VLOOKUP(C326,'MATERIAS PRIMAS'!$B$5:$F$104,5,FALSE),0)</f>
        <v>0</v>
      </c>
      <c r="G326" s="33">
        <f t="shared" si="1"/>
        <v>0</v>
      </c>
      <c r="H326" s="36" t="n">
        <f>IFERROR(D326/VLOOKUP(A326,PRODUCTOS!$A$6:$D$35,4,FALSE),0)</f>
        <v>0</v>
      </c>
      <c r="I326" s="386"/>
      <c r="J326" s="3"/>
      <c r="K326" s="3"/>
      <c r="L326" s="3"/>
      <c r="M326" s="3"/>
    </row>
    <row r="327" ht="15.75" customHeight="1">
      <c r="A327" s="386"/>
      <c r="B327" s="26" t="str">
        <f>IFERROR(VLOOKUP(A327,PRODUCTOS!$A$6:$B$35,2,FALSE),"")</f>
      </c>
      <c r="C327" s="386"/>
      <c r="D327" s="386"/>
      <c r="E327" s="386"/>
      <c r="F327" s="33" t="n">
        <f>IFERROR(VLOOKUP(C327,'MATERIAS PRIMAS'!$B$5:$F$104,5,FALSE),0)</f>
        <v>0</v>
      </c>
      <c r="G327" s="33">
        <f t="shared" si="1"/>
        <v>0</v>
      </c>
      <c r="H327" s="36" t="n">
        <f>IFERROR(D327/VLOOKUP(A327,PRODUCTOS!$A$6:$D$35,4,FALSE),0)</f>
        <v>0</v>
      </c>
      <c r="I327" s="386"/>
      <c r="J327" s="3"/>
      <c r="K327" s="3"/>
      <c r="L327" s="3"/>
      <c r="M327" s="3"/>
    </row>
    <row r="328" ht="15.75" customHeight="1">
      <c r="A328" s="386"/>
      <c r="B328" s="26" t="str">
        <f>IFERROR(VLOOKUP(A328,PRODUCTOS!$A$6:$B$35,2,FALSE),"")</f>
      </c>
      <c r="C328" s="386"/>
      <c r="D328" s="386"/>
      <c r="E328" s="386"/>
      <c r="F328" s="33" t="n">
        <f>IFERROR(VLOOKUP(C328,'MATERIAS PRIMAS'!$B$5:$F$104,5,FALSE),0)</f>
        <v>0</v>
      </c>
      <c r="G328" s="33">
        <f t="shared" si="1"/>
        <v>0</v>
      </c>
      <c r="H328" s="36" t="n">
        <f>IFERROR(D328/VLOOKUP(A328,PRODUCTOS!$A$6:$D$35,4,FALSE),0)</f>
        <v>0</v>
      </c>
      <c r="I328" s="386"/>
      <c r="J328" s="3"/>
      <c r="K328" s="3"/>
      <c r="L328" s="3"/>
      <c r="M328" s="3"/>
    </row>
    <row r="329" ht="15.75" customHeight="1">
      <c r="A329" s="386"/>
      <c r="B329" s="26" t="str">
        <f>IFERROR(VLOOKUP(A329,PRODUCTOS!$A$6:$B$35,2,FALSE),"")</f>
      </c>
      <c r="C329" s="386"/>
      <c r="D329" s="386"/>
      <c r="E329" s="386"/>
      <c r="F329" s="33" t="n">
        <f>IFERROR(VLOOKUP(C329,'MATERIAS PRIMAS'!$B$5:$F$104,5,FALSE),0)</f>
        <v>0</v>
      </c>
      <c r="G329" s="33">
        <f t="shared" si="1"/>
        <v>0</v>
      </c>
      <c r="H329" s="36" t="n">
        <f>IFERROR(D329/VLOOKUP(A329,PRODUCTOS!$A$6:$D$35,4,FALSE),0)</f>
        <v>0</v>
      </c>
      <c r="I329" s="386"/>
      <c r="J329" s="3"/>
      <c r="K329" s="3"/>
      <c r="L329" s="3"/>
      <c r="M329" s="3"/>
    </row>
    <row r="330" ht="15.75" customHeight="1">
      <c r="A330" s="386"/>
      <c r="B330" s="26" t="str">
        <f>IFERROR(VLOOKUP(A330,PRODUCTOS!$A$6:$B$35,2,FALSE),"")</f>
      </c>
      <c r="C330" s="386"/>
      <c r="D330" s="386"/>
      <c r="E330" s="386"/>
      <c r="F330" s="33" t="n">
        <f>IFERROR(VLOOKUP(C330,'MATERIAS PRIMAS'!$B$5:$F$104,5,FALSE),0)</f>
        <v>0</v>
      </c>
      <c r="G330" s="33">
        <f t="shared" si="1"/>
        <v>0</v>
      </c>
      <c r="H330" s="36" t="n">
        <f>IFERROR(D330/VLOOKUP(A330,PRODUCTOS!$A$6:$D$35,4,FALSE),0)</f>
        <v>0</v>
      </c>
      <c r="I330" s="386"/>
      <c r="J330" s="3"/>
      <c r="K330" s="3"/>
      <c r="L330" s="3"/>
      <c r="M330" s="3"/>
    </row>
    <row r="331" ht="15.75" customHeight="1">
      <c r="A331" s="386"/>
      <c r="B331" s="26" t="str">
        <f>IFERROR(VLOOKUP(A331,PRODUCTOS!$A$6:$B$35,2,FALSE),"")</f>
      </c>
      <c r="C331" s="386"/>
      <c r="D331" s="386"/>
      <c r="E331" s="386"/>
      <c r="F331" s="33" t="n">
        <f>IFERROR(VLOOKUP(C331,'MATERIAS PRIMAS'!$B$5:$F$104,5,FALSE),0)</f>
        <v>0</v>
      </c>
      <c r="G331" s="33">
        <f t="shared" si="1"/>
        <v>0</v>
      </c>
      <c r="H331" s="36" t="n">
        <f>IFERROR(D331/VLOOKUP(A331,PRODUCTOS!$A$6:$D$35,4,FALSE),0)</f>
        <v>0</v>
      </c>
      <c r="I331" s="386"/>
      <c r="J331" s="3"/>
      <c r="K331" s="3"/>
      <c r="L331" s="3"/>
      <c r="M331" s="3"/>
    </row>
    <row r="332" ht="15.75" customHeight="1">
      <c r="A332" s="386"/>
      <c r="B332" s="26" t="str">
        <f>IFERROR(VLOOKUP(A332,PRODUCTOS!$A$6:$B$35,2,FALSE),"")</f>
      </c>
      <c r="C332" s="386"/>
      <c r="D332" s="386"/>
      <c r="E332" s="386"/>
      <c r="F332" s="33" t="n">
        <f>IFERROR(VLOOKUP(C332,'MATERIAS PRIMAS'!$B$5:$F$104,5,FALSE),0)</f>
        <v>0</v>
      </c>
      <c r="G332" s="33">
        <f t="shared" si="1"/>
        <v>0</v>
      </c>
      <c r="H332" s="36" t="n">
        <f>IFERROR(D332/VLOOKUP(A332,PRODUCTOS!$A$6:$D$35,4,FALSE),0)</f>
        <v>0</v>
      </c>
      <c r="I332" s="386"/>
      <c r="J332" s="3"/>
      <c r="K332" s="3"/>
      <c r="L332" s="3"/>
      <c r="M332" s="3"/>
    </row>
    <row r="333" ht="15.75" customHeight="1">
      <c r="A333" s="386"/>
      <c r="B333" s="26" t="str">
        <f>IFERROR(VLOOKUP(A333,PRODUCTOS!$A$6:$B$35,2,FALSE),"")</f>
      </c>
      <c r="C333" s="386"/>
      <c r="D333" s="386"/>
      <c r="E333" s="386"/>
      <c r="F333" s="33" t="n">
        <f>IFERROR(VLOOKUP(C333,'MATERIAS PRIMAS'!$B$5:$F$104,5,FALSE),0)</f>
        <v>0</v>
      </c>
      <c r="G333" s="33">
        <f t="shared" si="1"/>
        <v>0</v>
      </c>
      <c r="H333" s="36" t="n">
        <f>IFERROR(D333/VLOOKUP(A333,PRODUCTOS!$A$6:$D$35,4,FALSE),0)</f>
        <v>0</v>
      </c>
      <c r="I333" s="386"/>
      <c r="J333" s="3"/>
      <c r="K333" s="3"/>
      <c r="L333" s="3"/>
      <c r="M333" s="3"/>
    </row>
    <row r="334" ht="15.75" customHeight="1">
      <c r="A334" s="386"/>
      <c r="B334" s="26" t="str">
        <f>IFERROR(VLOOKUP(A334,PRODUCTOS!$A$6:$B$35,2,FALSE),"")</f>
      </c>
      <c r="C334" s="386"/>
      <c r="D334" s="386"/>
      <c r="E334" s="386"/>
      <c r="F334" s="33" t="n">
        <f>IFERROR(VLOOKUP(C334,'MATERIAS PRIMAS'!$B$5:$F$104,5,FALSE),0)</f>
        <v>0</v>
      </c>
      <c r="G334" s="33">
        <f t="shared" si="1"/>
        <v>0</v>
      </c>
      <c r="H334" s="36" t="n">
        <f>IFERROR(D334/VLOOKUP(A334,PRODUCTOS!$A$6:$D$35,4,FALSE),0)</f>
        <v>0</v>
      </c>
      <c r="I334" s="386"/>
      <c r="J334" s="3"/>
      <c r="K334" s="3"/>
      <c r="L334" s="3"/>
      <c r="M334" s="3"/>
    </row>
    <row r="335" ht="15.75" customHeight="1">
      <c r="A335" s="386"/>
      <c r="B335" s="26" t="str">
        <f>IFERROR(VLOOKUP(A335,PRODUCTOS!$A$6:$B$35,2,FALSE),"")</f>
      </c>
      <c r="C335" s="386"/>
      <c r="D335" s="386"/>
      <c r="E335" s="386"/>
      <c r="F335" s="33" t="n">
        <f>IFERROR(VLOOKUP(C335,'MATERIAS PRIMAS'!$B$5:$F$104,5,FALSE),0)</f>
        <v>0</v>
      </c>
      <c r="G335" s="33">
        <f t="shared" si="1"/>
        <v>0</v>
      </c>
      <c r="H335" s="36" t="n">
        <f>IFERROR(D335/VLOOKUP(A335,PRODUCTOS!$A$6:$D$35,4,FALSE),0)</f>
        <v>0</v>
      </c>
      <c r="I335" s="386"/>
      <c r="J335" s="3"/>
      <c r="K335" s="3"/>
      <c r="L335" s="3"/>
      <c r="M335" s="3"/>
    </row>
    <row r="336" ht="15.75" customHeight="1">
      <c r="A336" s="386"/>
      <c r="B336" s="26" t="str">
        <f>IFERROR(VLOOKUP(A336,PRODUCTOS!$A$6:$B$35,2,FALSE),"")</f>
      </c>
      <c r="C336" s="386"/>
      <c r="D336" s="386"/>
      <c r="E336" s="386"/>
      <c r="F336" s="33" t="n">
        <f>IFERROR(VLOOKUP(C336,'MATERIAS PRIMAS'!$B$5:$F$104,5,FALSE),0)</f>
        <v>0</v>
      </c>
      <c r="G336" s="33">
        <f t="shared" si="1"/>
        <v>0</v>
      </c>
      <c r="H336" s="36" t="n">
        <f>IFERROR(D336/VLOOKUP(A336,PRODUCTOS!$A$6:$D$35,4,FALSE),0)</f>
        <v>0</v>
      </c>
      <c r="I336" s="386"/>
      <c r="J336" s="3"/>
      <c r="K336" s="3"/>
      <c r="L336" s="3"/>
      <c r="M336" s="3"/>
    </row>
    <row r="337" ht="15.75" customHeight="1">
      <c r="A337" s="386"/>
      <c r="B337" s="26" t="str">
        <f>IFERROR(VLOOKUP(A337,PRODUCTOS!$A$6:$B$35,2,FALSE),"")</f>
      </c>
      <c r="C337" s="386"/>
      <c r="D337" s="386"/>
      <c r="E337" s="386"/>
      <c r="F337" s="33" t="n">
        <f>IFERROR(VLOOKUP(C337,'MATERIAS PRIMAS'!$B$5:$F$104,5,FALSE),0)</f>
        <v>0</v>
      </c>
      <c r="G337" s="33">
        <f t="shared" si="1"/>
        <v>0</v>
      </c>
      <c r="H337" s="36" t="n">
        <f>IFERROR(D337/VLOOKUP(A337,PRODUCTOS!$A$6:$D$35,4,FALSE),0)</f>
        <v>0</v>
      </c>
      <c r="I337" s="386"/>
      <c r="J337" s="3"/>
      <c r="K337" s="3"/>
      <c r="L337" s="3"/>
      <c r="M337" s="3"/>
    </row>
    <row r="338" ht="15.75" customHeight="1">
      <c r="A338" s="386"/>
      <c r="B338" s="26" t="str">
        <f>IFERROR(VLOOKUP(A338,PRODUCTOS!$A$6:$B$35,2,FALSE),"")</f>
      </c>
      <c r="C338" s="386"/>
      <c r="D338" s="386"/>
      <c r="E338" s="386"/>
      <c r="F338" s="33" t="n">
        <f>IFERROR(VLOOKUP(C338,'MATERIAS PRIMAS'!$B$5:$F$104,5,FALSE),0)</f>
        <v>0</v>
      </c>
      <c r="G338" s="33">
        <f t="shared" si="1"/>
        <v>0</v>
      </c>
      <c r="H338" s="36" t="n">
        <f>IFERROR(D338/VLOOKUP(A338,PRODUCTOS!$A$6:$D$35,4,FALSE),0)</f>
        <v>0</v>
      </c>
      <c r="I338" s="386"/>
      <c r="J338" s="3"/>
      <c r="K338" s="3"/>
      <c r="L338" s="3"/>
      <c r="M338" s="3"/>
    </row>
    <row r="339" ht="15.75" customHeight="1">
      <c r="A339" s="386"/>
      <c r="B339" s="26" t="str">
        <f>IFERROR(VLOOKUP(A339,PRODUCTOS!$A$6:$B$35,2,FALSE),"")</f>
      </c>
      <c r="C339" s="386"/>
      <c r="D339" s="386"/>
      <c r="E339" s="386"/>
      <c r="F339" s="33" t="n">
        <f>IFERROR(VLOOKUP(C339,'MATERIAS PRIMAS'!$B$5:$F$104,5,FALSE),0)</f>
        <v>0</v>
      </c>
      <c r="G339" s="33">
        <f t="shared" si="1"/>
        <v>0</v>
      </c>
      <c r="H339" s="36" t="n">
        <f>IFERROR(D339/VLOOKUP(A339,PRODUCTOS!$A$6:$D$35,4,FALSE),0)</f>
        <v>0</v>
      </c>
      <c r="I339" s="386"/>
      <c r="J339" s="3"/>
      <c r="K339" s="3"/>
      <c r="L339" s="3"/>
      <c r="M339" s="3"/>
    </row>
    <row r="340" ht="15.75" customHeight="1">
      <c r="A340" s="386"/>
      <c r="B340" s="26" t="str">
        <f>IFERROR(VLOOKUP(A340,PRODUCTOS!$A$6:$B$35,2,FALSE),"")</f>
      </c>
      <c r="C340" s="386"/>
      <c r="D340" s="386"/>
      <c r="E340" s="386"/>
      <c r="F340" s="33" t="n">
        <f>IFERROR(VLOOKUP(C340,'MATERIAS PRIMAS'!$B$5:$F$104,5,FALSE),0)</f>
        <v>0</v>
      </c>
      <c r="G340" s="33">
        <f t="shared" si="1"/>
        <v>0</v>
      </c>
      <c r="H340" s="36" t="n">
        <f>IFERROR(D340/VLOOKUP(A340,PRODUCTOS!$A$6:$D$35,4,FALSE),0)</f>
        <v>0</v>
      </c>
      <c r="I340" s="386"/>
      <c r="J340" s="3"/>
      <c r="K340" s="3"/>
      <c r="L340" s="3"/>
      <c r="M340" s="3"/>
    </row>
    <row r="341" ht="15.75" customHeight="1">
      <c r="A341" s="386"/>
      <c r="B341" s="26" t="str">
        <f>IFERROR(VLOOKUP(A341,PRODUCTOS!$A$6:$B$35,2,FALSE),"")</f>
      </c>
      <c r="C341" s="386"/>
      <c r="D341" s="386"/>
      <c r="E341" s="386"/>
      <c r="F341" s="33" t="n">
        <f>IFERROR(VLOOKUP(C341,'MATERIAS PRIMAS'!$B$5:$F$104,5,FALSE),0)</f>
        <v>0</v>
      </c>
      <c r="G341" s="33">
        <f t="shared" si="1"/>
        <v>0</v>
      </c>
      <c r="H341" s="36" t="n">
        <f>IFERROR(D341/VLOOKUP(A341,PRODUCTOS!$A$6:$D$35,4,FALSE),0)</f>
        <v>0</v>
      </c>
      <c r="I341" s="386"/>
      <c r="J341" s="3"/>
      <c r="K341" s="3"/>
      <c r="L341" s="3"/>
      <c r="M341" s="3"/>
    </row>
    <row r="342" ht="15.75" customHeight="1">
      <c r="A342" s="386"/>
      <c r="B342" s="26" t="str">
        <f>IFERROR(VLOOKUP(A342,PRODUCTOS!$A$6:$B$35,2,FALSE),"")</f>
      </c>
      <c r="C342" s="386"/>
      <c r="D342" s="386"/>
      <c r="E342" s="386"/>
      <c r="F342" s="33" t="n">
        <f>IFERROR(VLOOKUP(C342,'MATERIAS PRIMAS'!$B$5:$F$104,5,FALSE),0)</f>
        <v>0</v>
      </c>
      <c r="G342" s="33">
        <f t="shared" si="1"/>
        <v>0</v>
      </c>
      <c r="H342" s="36" t="n">
        <f>IFERROR(D342/VLOOKUP(A342,PRODUCTOS!$A$6:$D$35,4,FALSE),0)</f>
        <v>0</v>
      </c>
      <c r="I342" s="386"/>
      <c r="J342" s="3"/>
      <c r="K342" s="3"/>
      <c r="L342" s="3"/>
      <c r="M342" s="3"/>
    </row>
    <row r="343" ht="15.75" customHeight="1">
      <c r="A343" s="386"/>
      <c r="B343" s="26" t="str">
        <f>IFERROR(VLOOKUP(A343,PRODUCTOS!$A$6:$B$35,2,FALSE),"")</f>
      </c>
      <c r="C343" s="386"/>
      <c r="D343" s="386"/>
      <c r="E343" s="386"/>
      <c r="F343" s="33" t="n">
        <f>IFERROR(VLOOKUP(C343,'MATERIAS PRIMAS'!$B$5:$F$104,5,FALSE),0)</f>
        <v>0</v>
      </c>
      <c r="G343" s="33">
        <f t="shared" si="1"/>
        <v>0</v>
      </c>
      <c r="H343" s="36" t="n">
        <f>IFERROR(D343/VLOOKUP(A343,PRODUCTOS!$A$6:$D$35,4,FALSE),0)</f>
        <v>0</v>
      </c>
      <c r="I343" s="386"/>
      <c r="J343" s="3"/>
      <c r="K343" s="3"/>
      <c r="L343" s="3"/>
      <c r="M343" s="3"/>
    </row>
    <row r="344" ht="15.75" customHeight="1">
      <c r="A344" s="386"/>
      <c r="B344" s="26" t="str">
        <f>IFERROR(VLOOKUP(A344,PRODUCTOS!$A$6:$B$35,2,FALSE),"")</f>
      </c>
      <c r="C344" s="386"/>
      <c r="D344" s="386"/>
      <c r="E344" s="386"/>
      <c r="F344" s="33" t="n">
        <f>IFERROR(VLOOKUP(C344,'MATERIAS PRIMAS'!$B$5:$F$104,5,FALSE),0)</f>
        <v>0</v>
      </c>
      <c r="G344" s="33">
        <f t="shared" si="1"/>
        <v>0</v>
      </c>
      <c r="H344" s="36" t="n">
        <f>IFERROR(D344/VLOOKUP(A344,PRODUCTOS!$A$6:$D$35,4,FALSE),0)</f>
        <v>0</v>
      </c>
      <c r="I344" s="386"/>
      <c r="J344" s="3"/>
      <c r="K344" s="3"/>
      <c r="L344" s="3"/>
      <c r="M344" s="3"/>
    </row>
    <row r="345" ht="15.75" customHeight="1">
      <c r="A345" s="386"/>
      <c r="B345" s="26" t="str">
        <f>IFERROR(VLOOKUP(A345,PRODUCTOS!$A$6:$B$35,2,FALSE),"")</f>
      </c>
      <c r="C345" s="386"/>
      <c r="D345" s="386"/>
      <c r="E345" s="386"/>
      <c r="F345" s="33" t="n">
        <f>IFERROR(VLOOKUP(C345,'MATERIAS PRIMAS'!$B$5:$F$104,5,FALSE),0)</f>
        <v>0</v>
      </c>
      <c r="G345" s="33">
        <f t="shared" si="1"/>
        <v>0</v>
      </c>
      <c r="H345" s="36" t="n">
        <f>IFERROR(D345/VLOOKUP(A345,PRODUCTOS!$A$6:$D$35,4,FALSE),0)</f>
        <v>0</v>
      </c>
      <c r="I345" s="386"/>
      <c r="J345" s="3"/>
      <c r="K345" s="3"/>
      <c r="L345" s="3"/>
      <c r="M345" s="3"/>
    </row>
    <row r="346" ht="15.75" customHeight="1">
      <c r="A346" s="386"/>
      <c r="B346" s="26" t="str">
        <f>IFERROR(VLOOKUP(A346,PRODUCTOS!$A$6:$B$35,2,FALSE),"")</f>
      </c>
      <c r="C346" s="386"/>
      <c r="D346" s="386"/>
      <c r="E346" s="386"/>
      <c r="F346" s="33" t="n">
        <f>IFERROR(VLOOKUP(C346,'MATERIAS PRIMAS'!$B$5:$F$104,5,FALSE),0)</f>
        <v>0</v>
      </c>
      <c r="G346" s="33">
        <f t="shared" si="1"/>
        <v>0</v>
      </c>
      <c r="H346" s="36" t="n">
        <f>IFERROR(D346/VLOOKUP(A346,PRODUCTOS!$A$6:$D$35,4,FALSE),0)</f>
        <v>0</v>
      </c>
      <c r="I346" s="386"/>
      <c r="J346" s="3"/>
      <c r="K346" s="3"/>
      <c r="L346" s="3"/>
      <c r="M346" s="3"/>
    </row>
    <row r="347" ht="15.75" customHeight="1">
      <c r="A347" s="386"/>
      <c r="B347" s="26" t="str">
        <f>IFERROR(VLOOKUP(A347,PRODUCTOS!$A$6:$B$35,2,FALSE),"")</f>
      </c>
      <c r="C347" s="386"/>
      <c r="D347" s="386"/>
      <c r="E347" s="386"/>
      <c r="F347" s="33" t="n">
        <f>IFERROR(VLOOKUP(C347,'MATERIAS PRIMAS'!$B$5:$F$104,5,FALSE),0)</f>
        <v>0</v>
      </c>
      <c r="G347" s="33">
        <f t="shared" si="1"/>
        <v>0</v>
      </c>
      <c r="H347" s="36" t="n">
        <f>IFERROR(D347/VLOOKUP(A347,PRODUCTOS!$A$6:$D$35,4,FALSE),0)</f>
        <v>0</v>
      </c>
      <c r="I347" s="386"/>
      <c r="J347" s="3"/>
      <c r="K347" s="3"/>
      <c r="L347" s="3"/>
      <c r="M347" s="3"/>
    </row>
    <row r="348" ht="15.75" customHeight="1">
      <c r="A348" s="386"/>
      <c r="B348" s="26" t="str">
        <f>IFERROR(VLOOKUP(A348,PRODUCTOS!$A$6:$B$35,2,FALSE),"")</f>
      </c>
      <c r="C348" s="386"/>
      <c r="D348" s="386"/>
      <c r="E348" s="386"/>
      <c r="F348" s="33" t="n">
        <f>IFERROR(VLOOKUP(C348,'MATERIAS PRIMAS'!$B$5:$F$104,5,FALSE),0)</f>
        <v>0</v>
      </c>
      <c r="G348" s="33">
        <f t="shared" si="1"/>
        <v>0</v>
      </c>
      <c r="H348" s="36" t="n">
        <f>IFERROR(D348/VLOOKUP(A348,PRODUCTOS!$A$6:$D$35,4,FALSE),0)</f>
        <v>0</v>
      </c>
      <c r="I348" s="386"/>
      <c r="J348" s="3"/>
      <c r="K348" s="3"/>
      <c r="L348" s="3"/>
      <c r="M348" s="3"/>
    </row>
    <row r="349" ht="15.75" customHeight="1">
      <c r="A349" s="386"/>
      <c r="B349" s="26" t="str">
        <f>IFERROR(VLOOKUP(A349,PRODUCTOS!$A$6:$B$35,2,FALSE),"")</f>
      </c>
      <c r="C349" s="386"/>
      <c r="D349" s="386"/>
      <c r="E349" s="386"/>
      <c r="F349" s="33" t="n">
        <f>IFERROR(VLOOKUP(C349,'MATERIAS PRIMAS'!$B$5:$F$104,5,FALSE),0)</f>
        <v>0</v>
      </c>
      <c r="G349" s="33">
        <f t="shared" si="1"/>
        <v>0</v>
      </c>
      <c r="H349" s="36" t="n">
        <f>IFERROR(D349/VLOOKUP(A349,PRODUCTOS!$A$6:$D$35,4,FALSE),0)</f>
        <v>0</v>
      </c>
      <c r="I349" s="386"/>
      <c r="J349" s="3"/>
      <c r="K349" s="3"/>
      <c r="L349" s="3"/>
      <c r="M349" s="3"/>
    </row>
    <row r="350" ht="15.75" customHeight="1">
      <c r="A350" s="386"/>
      <c r="B350" s="26" t="str">
        <f>IFERROR(VLOOKUP(A350,PRODUCTOS!$A$6:$B$35,2,FALSE),"")</f>
      </c>
      <c r="C350" s="386"/>
      <c r="D350" s="386"/>
      <c r="E350" s="386"/>
      <c r="F350" s="33" t="n">
        <f>IFERROR(VLOOKUP(C350,'MATERIAS PRIMAS'!$B$5:$F$104,5,FALSE),0)</f>
        <v>0</v>
      </c>
      <c r="G350" s="33">
        <f t="shared" si="1"/>
        <v>0</v>
      </c>
      <c r="H350" s="36" t="n">
        <f>IFERROR(D350/VLOOKUP(A350,PRODUCTOS!$A$6:$D$35,4,FALSE),0)</f>
        <v>0</v>
      </c>
      <c r="I350" s="386"/>
      <c r="J350" s="3"/>
      <c r="K350" s="3"/>
      <c r="L350" s="3"/>
      <c r="M350" s="3"/>
    </row>
    <row r="351" ht="15.75" customHeight="1">
      <c r="A351" s="386"/>
      <c r="B351" s="26" t="str">
        <f>IFERROR(VLOOKUP(A351,PRODUCTOS!$A$6:$B$35,2,FALSE),"")</f>
      </c>
      <c r="C351" s="386"/>
      <c r="D351" s="386"/>
      <c r="E351" s="386"/>
      <c r="F351" s="33" t="n">
        <f>IFERROR(VLOOKUP(C351,'MATERIAS PRIMAS'!$B$5:$F$104,5,FALSE),0)</f>
        <v>0</v>
      </c>
      <c r="G351" s="33">
        <f t="shared" si="1"/>
        <v>0</v>
      </c>
      <c r="H351" s="36" t="n">
        <f>IFERROR(D351/VLOOKUP(A351,PRODUCTOS!$A$6:$D$35,4,FALSE),0)</f>
        <v>0</v>
      </c>
      <c r="I351" s="386"/>
      <c r="J351" s="3"/>
      <c r="K351" s="3"/>
      <c r="L351" s="3"/>
      <c r="M351" s="3"/>
    </row>
    <row r="352" ht="15.75" customHeight="1">
      <c r="A352" s="386"/>
      <c r="B352" s="26" t="str">
        <f>IFERROR(VLOOKUP(A352,PRODUCTOS!$A$6:$B$35,2,FALSE),"")</f>
      </c>
      <c r="C352" s="386"/>
      <c r="D352" s="386"/>
      <c r="E352" s="386"/>
      <c r="F352" s="33" t="n">
        <f>IFERROR(VLOOKUP(C352,'MATERIAS PRIMAS'!$B$5:$F$104,5,FALSE),0)</f>
        <v>0</v>
      </c>
      <c r="G352" s="33">
        <f t="shared" si="1"/>
        <v>0</v>
      </c>
      <c r="H352" s="36" t="n">
        <f>IFERROR(D352/VLOOKUP(A352,PRODUCTOS!$A$6:$D$35,4,FALSE),0)</f>
        <v>0</v>
      </c>
      <c r="I352" s="386"/>
      <c r="J352" s="3"/>
      <c r="K352" s="3"/>
      <c r="L352" s="3"/>
      <c r="M352" s="3"/>
    </row>
    <row r="353" ht="15.75" customHeight="1">
      <c r="A353" s="386"/>
      <c r="B353" s="26" t="str">
        <f>IFERROR(VLOOKUP(A353,PRODUCTOS!$A$6:$B$35,2,FALSE),"")</f>
      </c>
      <c r="C353" s="386"/>
      <c r="D353" s="386"/>
      <c r="E353" s="386"/>
      <c r="F353" s="33" t="n">
        <f>IFERROR(VLOOKUP(C353,'MATERIAS PRIMAS'!$B$5:$F$104,5,FALSE),0)</f>
        <v>0</v>
      </c>
      <c r="G353" s="33">
        <f t="shared" si="1"/>
        <v>0</v>
      </c>
      <c r="H353" s="36" t="n">
        <f>IFERROR(D353/VLOOKUP(A353,PRODUCTOS!$A$6:$D$35,4,FALSE),0)</f>
        <v>0</v>
      </c>
      <c r="I353" s="386"/>
      <c r="J353" s="3"/>
      <c r="K353" s="3"/>
      <c r="L353" s="3"/>
      <c r="M353" s="3"/>
    </row>
    <row r="354" ht="15.75" customHeight="1">
      <c r="A354" s="386"/>
      <c r="B354" s="26" t="str">
        <f>IFERROR(VLOOKUP(A354,PRODUCTOS!$A$6:$B$35,2,FALSE),"")</f>
      </c>
      <c r="C354" s="386"/>
      <c r="D354" s="386"/>
      <c r="E354" s="386"/>
      <c r="F354" s="33" t="n">
        <f>IFERROR(VLOOKUP(C354,'MATERIAS PRIMAS'!$B$5:$F$104,5,FALSE),0)</f>
        <v>0</v>
      </c>
      <c r="G354" s="33">
        <f t="shared" si="1"/>
        <v>0</v>
      </c>
      <c r="H354" s="36" t="n">
        <f>IFERROR(D354/VLOOKUP(A354,PRODUCTOS!$A$6:$D$35,4,FALSE),0)</f>
        <v>0</v>
      </c>
      <c r="I354" s="386"/>
      <c r="J354" s="3"/>
      <c r="K354" s="3"/>
      <c r="L354" s="3"/>
      <c r="M354" s="3"/>
    </row>
    <row r="355" ht="15.75" customHeight="1">
      <c r="A355" s="386"/>
      <c r="B355" s="26" t="str">
        <f>IFERROR(VLOOKUP(A355,PRODUCTOS!$A$6:$B$35,2,FALSE),"")</f>
      </c>
      <c r="C355" s="386"/>
      <c r="D355" s="386"/>
      <c r="E355" s="386"/>
      <c r="F355" s="33" t="n">
        <f>IFERROR(VLOOKUP(C355,'MATERIAS PRIMAS'!$B$5:$F$104,5,FALSE),0)</f>
        <v>0</v>
      </c>
      <c r="G355" s="33">
        <f t="shared" si="1"/>
        <v>0</v>
      </c>
      <c r="H355" s="36" t="n">
        <f>IFERROR(D355/VLOOKUP(A355,PRODUCTOS!$A$6:$D$35,4,FALSE),0)</f>
        <v>0</v>
      </c>
      <c r="I355" s="386"/>
      <c r="J355" s="3"/>
      <c r="K355" s="3"/>
      <c r="L355" s="3"/>
      <c r="M355" s="3"/>
    </row>
    <row r="356" ht="15.75" customHeight="1">
      <c r="A356" s="386"/>
      <c r="B356" s="26" t="str">
        <f>IFERROR(VLOOKUP(A356,PRODUCTOS!$A$6:$B$35,2,FALSE),"")</f>
      </c>
      <c r="C356" s="386"/>
      <c r="D356" s="386"/>
      <c r="E356" s="386"/>
      <c r="F356" s="33" t="n">
        <f>IFERROR(VLOOKUP(C356,'MATERIAS PRIMAS'!$B$5:$F$104,5,FALSE),0)</f>
        <v>0</v>
      </c>
      <c r="G356" s="33">
        <f t="shared" si="1"/>
        <v>0</v>
      </c>
      <c r="H356" s="36" t="n">
        <f>IFERROR(D356/VLOOKUP(A356,PRODUCTOS!$A$6:$D$35,4,FALSE),0)</f>
        <v>0</v>
      </c>
      <c r="I356" s="386"/>
      <c r="J356" s="3"/>
      <c r="K356" s="3"/>
      <c r="L356" s="3"/>
      <c r="M356" s="3"/>
    </row>
    <row r="357" ht="15.75" customHeight="1">
      <c r="A357" s="386"/>
      <c r="B357" s="26" t="str">
        <f>IFERROR(VLOOKUP(A357,PRODUCTOS!$A$6:$B$35,2,FALSE),"")</f>
      </c>
      <c r="C357" s="386"/>
      <c r="D357" s="386"/>
      <c r="E357" s="386"/>
      <c r="F357" s="33" t="n">
        <f>IFERROR(VLOOKUP(C357,'MATERIAS PRIMAS'!$B$5:$F$104,5,FALSE),0)</f>
        <v>0</v>
      </c>
      <c r="G357" s="33">
        <f t="shared" si="1"/>
        <v>0</v>
      </c>
      <c r="H357" s="36" t="n">
        <f>IFERROR(D357/VLOOKUP(A357,PRODUCTOS!$A$6:$D$35,4,FALSE),0)</f>
        <v>0</v>
      </c>
      <c r="I357" s="386"/>
      <c r="J357" s="3"/>
      <c r="K357" s="3"/>
      <c r="L357" s="3"/>
      <c r="M357" s="3"/>
    </row>
    <row r="358" ht="15.75" customHeight="1">
      <c r="A358" s="386"/>
      <c r="B358" s="26" t="str">
        <f>IFERROR(VLOOKUP(A358,PRODUCTOS!$A$6:$B$35,2,FALSE),"")</f>
      </c>
      <c r="C358" s="386"/>
      <c r="D358" s="386"/>
      <c r="E358" s="386"/>
      <c r="F358" s="33" t="n">
        <f>IFERROR(VLOOKUP(C358,'MATERIAS PRIMAS'!$B$5:$F$104,5,FALSE),0)</f>
        <v>0</v>
      </c>
      <c r="G358" s="33">
        <f t="shared" si="1"/>
        <v>0</v>
      </c>
      <c r="H358" s="36" t="n">
        <f>IFERROR(D358/VLOOKUP(A358,PRODUCTOS!$A$6:$D$35,4,FALSE),0)</f>
        <v>0</v>
      </c>
      <c r="I358" s="386"/>
      <c r="J358" s="3"/>
      <c r="K358" s="3"/>
      <c r="L358" s="3"/>
      <c r="M358" s="3"/>
    </row>
    <row r="359" ht="15.75" customHeight="1">
      <c r="A359" s="386"/>
      <c r="B359" s="26" t="str">
        <f>IFERROR(VLOOKUP(A359,PRODUCTOS!$A$6:$B$35,2,FALSE),"")</f>
      </c>
      <c r="C359" s="386"/>
      <c r="D359" s="386"/>
      <c r="E359" s="386"/>
      <c r="F359" s="33" t="n">
        <f>IFERROR(VLOOKUP(C359,'MATERIAS PRIMAS'!$B$5:$F$104,5,FALSE),0)</f>
        <v>0</v>
      </c>
      <c r="G359" s="33">
        <f t="shared" si="1"/>
        <v>0</v>
      </c>
      <c r="H359" s="36" t="n">
        <f>IFERROR(D359/VLOOKUP(A359,PRODUCTOS!$A$6:$D$35,4,FALSE),0)</f>
        <v>0</v>
      </c>
      <c r="I359" s="386"/>
      <c r="J359" s="3"/>
      <c r="K359" s="3"/>
      <c r="L359" s="3"/>
      <c r="M359" s="3"/>
    </row>
    <row r="360" ht="15.75" customHeight="1">
      <c r="A360" s="386"/>
      <c r="B360" s="26" t="str">
        <f>IFERROR(VLOOKUP(A360,PRODUCTOS!$A$6:$B$35,2,FALSE),"")</f>
      </c>
      <c r="C360" s="386"/>
      <c r="D360" s="386"/>
      <c r="E360" s="386"/>
      <c r="F360" s="33" t="n">
        <f>IFERROR(VLOOKUP(C360,'MATERIAS PRIMAS'!$B$5:$F$104,5,FALSE),0)</f>
        <v>0</v>
      </c>
      <c r="G360" s="33">
        <f t="shared" si="1"/>
        <v>0</v>
      </c>
      <c r="H360" s="36" t="n">
        <f>IFERROR(D360/VLOOKUP(A360,PRODUCTOS!$A$6:$D$35,4,FALSE),0)</f>
        <v>0</v>
      </c>
      <c r="I360" s="386"/>
      <c r="J360" s="3"/>
      <c r="K360" s="3"/>
      <c r="L360" s="3"/>
      <c r="M360" s="3"/>
    </row>
    <row r="361" ht="15.75" customHeight="1">
      <c r="A361" s="386"/>
      <c r="B361" s="26" t="str">
        <f>IFERROR(VLOOKUP(A361,PRODUCTOS!$A$6:$B$35,2,FALSE),"")</f>
      </c>
      <c r="C361" s="386"/>
      <c r="D361" s="386"/>
      <c r="E361" s="386"/>
      <c r="F361" s="33" t="n">
        <f>IFERROR(VLOOKUP(C361,'MATERIAS PRIMAS'!$B$5:$F$104,5,FALSE),0)</f>
        <v>0</v>
      </c>
      <c r="G361" s="33">
        <f t="shared" si="1"/>
        <v>0</v>
      </c>
      <c r="H361" s="36" t="n">
        <f>IFERROR(D361/VLOOKUP(A361,PRODUCTOS!$A$6:$D$35,4,FALSE),0)</f>
        <v>0</v>
      </c>
      <c r="I361" s="386"/>
      <c r="J361" s="3"/>
      <c r="K361" s="3"/>
      <c r="L361" s="3"/>
      <c r="M361" s="3"/>
    </row>
    <row r="362" ht="15.75" customHeight="1">
      <c r="A362" s="386"/>
      <c r="B362" s="26" t="str">
        <f>IFERROR(VLOOKUP(A362,PRODUCTOS!$A$6:$B$35,2,FALSE),"")</f>
      </c>
      <c r="C362" s="386"/>
      <c r="D362" s="386"/>
      <c r="E362" s="386"/>
      <c r="F362" s="33" t="n">
        <f>IFERROR(VLOOKUP(C362,'MATERIAS PRIMAS'!$B$5:$F$104,5,FALSE),0)</f>
        <v>0</v>
      </c>
      <c r="G362" s="33">
        <f t="shared" si="1"/>
        <v>0</v>
      </c>
      <c r="H362" s="36" t="n">
        <f>IFERROR(D362/VLOOKUP(A362,PRODUCTOS!$A$6:$D$35,4,FALSE),0)</f>
        <v>0</v>
      </c>
      <c r="I362" s="386"/>
      <c r="J362" s="3"/>
      <c r="K362" s="3"/>
      <c r="L362" s="3"/>
      <c r="M362" s="3"/>
    </row>
    <row r="363" ht="15.75" customHeight="1">
      <c r="A363" s="386"/>
      <c r="B363" s="26" t="str">
        <f>IFERROR(VLOOKUP(A363,PRODUCTOS!$A$6:$B$35,2,FALSE),"")</f>
      </c>
      <c r="C363" s="386"/>
      <c r="D363" s="386"/>
      <c r="E363" s="386"/>
      <c r="F363" s="33" t="n">
        <f>IFERROR(VLOOKUP(C363,'MATERIAS PRIMAS'!$B$5:$F$104,5,FALSE),0)</f>
        <v>0</v>
      </c>
      <c r="G363" s="33">
        <f t="shared" si="1"/>
        <v>0</v>
      </c>
      <c r="H363" s="36" t="n">
        <f>IFERROR(D363/VLOOKUP(A363,PRODUCTOS!$A$6:$D$35,4,FALSE),0)</f>
        <v>0</v>
      </c>
      <c r="I363" s="386"/>
      <c r="J363" s="3"/>
      <c r="K363" s="3"/>
      <c r="L363" s="3"/>
      <c r="M363" s="3"/>
    </row>
    <row r="364" ht="15.75" customHeight="1">
      <c r="A364" s="386"/>
      <c r="B364" s="26" t="str">
        <f>IFERROR(VLOOKUP(A364,PRODUCTOS!$A$6:$B$35,2,FALSE),"")</f>
      </c>
      <c r="C364" s="386"/>
      <c r="D364" s="386"/>
      <c r="E364" s="386"/>
      <c r="F364" s="33" t="n">
        <f>IFERROR(VLOOKUP(C364,'MATERIAS PRIMAS'!$B$5:$F$104,5,FALSE),0)</f>
        <v>0</v>
      </c>
      <c r="G364" s="33">
        <f t="shared" si="1"/>
        <v>0</v>
      </c>
      <c r="H364" s="36" t="n">
        <f>IFERROR(D364/VLOOKUP(A364,PRODUCTOS!$A$6:$D$35,4,FALSE),0)</f>
        <v>0</v>
      </c>
      <c r="I364" s="386"/>
      <c r="J364" s="3"/>
      <c r="K364" s="3"/>
      <c r="L364" s="3"/>
      <c r="M364" s="3"/>
    </row>
    <row r="365" ht="15.75" customHeight="1">
      <c r="A365" s="386"/>
      <c r="B365" s="26" t="str">
        <f>IFERROR(VLOOKUP(A365,PRODUCTOS!$A$6:$B$35,2,FALSE),"")</f>
      </c>
      <c r="C365" s="386"/>
      <c r="D365" s="386"/>
      <c r="E365" s="386"/>
      <c r="F365" s="33" t="n">
        <f>IFERROR(VLOOKUP(C365,'MATERIAS PRIMAS'!$B$5:$F$104,5,FALSE),0)</f>
        <v>0</v>
      </c>
      <c r="G365" s="33">
        <f t="shared" si="1"/>
        <v>0</v>
      </c>
      <c r="H365" s="36" t="n">
        <f>IFERROR(D365/VLOOKUP(A365,PRODUCTOS!$A$6:$D$35,4,FALSE),0)</f>
        <v>0</v>
      </c>
      <c r="I365" s="386"/>
      <c r="J365" s="3"/>
      <c r="K365" s="3"/>
      <c r="L365" s="3"/>
      <c r="M365" s="3"/>
    </row>
    <row r="366" ht="15.75" customHeight="1">
      <c r="A366" s="386"/>
      <c r="B366" s="26" t="str">
        <f>IFERROR(VLOOKUP(A366,PRODUCTOS!$A$6:$B$35,2,FALSE),"")</f>
      </c>
      <c r="C366" s="386"/>
      <c r="D366" s="386"/>
      <c r="E366" s="386"/>
      <c r="F366" s="33" t="n">
        <f>IFERROR(VLOOKUP(C366,'MATERIAS PRIMAS'!$B$5:$F$104,5,FALSE),0)</f>
        <v>0</v>
      </c>
      <c r="G366" s="33">
        <f t="shared" si="1"/>
        <v>0</v>
      </c>
      <c r="H366" s="36" t="n">
        <f>IFERROR(D366/VLOOKUP(A366,PRODUCTOS!$A$6:$D$35,4,FALSE),0)</f>
        <v>0</v>
      </c>
      <c r="I366" s="386"/>
      <c r="J366" s="3"/>
      <c r="K366" s="3"/>
      <c r="L366" s="3"/>
      <c r="M366" s="3"/>
    </row>
    <row r="367" ht="15.75" customHeight="1">
      <c r="A367" s="386"/>
      <c r="B367" s="26" t="str">
        <f>IFERROR(VLOOKUP(A367,PRODUCTOS!$A$6:$B$35,2,FALSE),"")</f>
      </c>
      <c r="C367" s="386"/>
      <c r="D367" s="386"/>
      <c r="E367" s="386"/>
      <c r="F367" s="33" t="n">
        <f>IFERROR(VLOOKUP(C367,'MATERIAS PRIMAS'!$B$5:$F$104,5,FALSE),0)</f>
        <v>0</v>
      </c>
      <c r="G367" s="33">
        <f t="shared" si="1"/>
        <v>0</v>
      </c>
      <c r="H367" s="36" t="n">
        <f>IFERROR(D367/VLOOKUP(A367,PRODUCTOS!$A$6:$D$35,4,FALSE),0)</f>
        <v>0</v>
      </c>
      <c r="I367" s="386"/>
      <c r="J367" s="3"/>
      <c r="K367" s="3"/>
      <c r="L367" s="3"/>
      <c r="M367" s="3"/>
    </row>
    <row r="368" ht="15.75" customHeight="1">
      <c r="A368" s="386"/>
      <c r="B368" s="26" t="str">
        <f>IFERROR(VLOOKUP(A368,PRODUCTOS!$A$6:$B$35,2,FALSE),"")</f>
      </c>
      <c r="C368" s="386"/>
      <c r="D368" s="386"/>
      <c r="E368" s="386"/>
      <c r="F368" s="33" t="n">
        <f>IFERROR(VLOOKUP(C368,'MATERIAS PRIMAS'!$B$5:$F$104,5,FALSE),0)</f>
        <v>0</v>
      </c>
      <c r="G368" s="33">
        <f t="shared" si="1"/>
        <v>0</v>
      </c>
      <c r="H368" s="36" t="n">
        <f>IFERROR(D368/VLOOKUP(A368,PRODUCTOS!$A$6:$D$35,4,FALSE),0)</f>
        <v>0</v>
      </c>
      <c r="I368" s="386"/>
      <c r="J368" s="3"/>
      <c r="K368" s="3"/>
      <c r="L368" s="3"/>
      <c r="M368" s="3"/>
    </row>
    <row r="369" ht="15.75" customHeight="1">
      <c r="A369" s="386"/>
      <c r="B369" s="26" t="str">
        <f>IFERROR(VLOOKUP(A369,PRODUCTOS!$A$6:$B$35,2,FALSE),"")</f>
      </c>
      <c r="C369" s="386"/>
      <c r="D369" s="386"/>
      <c r="E369" s="386"/>
      <c r="F369" s="33" t="n">
        <f>IFERROR(VLOOKUP(C369,'MATERIAS PRIMAS'!$B$5:$F$104,5,FALSE),0)</f>
        <v>0</v>
      </c>
      <c r="G369" s="33">
        <f t="shared" si="1"/>
        <v>0</v>
      </c>
      <c r="H369" s="36" t="n">
        <f>IFERROR(D369/VLOOKUP(A369,PRODUCTOS!$A$6:$D$35,4,FALSE),0)</f>
        <v>0</v>
      </c>
      <c r="I369" s="386"/>
      <c r="J369" s="3"/>
      <c r="K369" s="3"/>
      <c r="L369" s="3"/>
      <c r="M369" s="3"/>
    </row>
    <row r="370" ht="15.75" customHeight="1">
      <c r="A370" s="386"/>
      <c r="B370" s="26" t="str">
        <f>IFERROR(VLOOKUP(A370,PRODUCTOS!$A$6:$B$35,2,FALSE),"")</f>
      </c>
      <c r="C370" s="386"/>
      <c r="D370" s="386"/>
      <c r="E370" s="386"/>
      <c r="F370" s="33" t="n">
        <f>IFERROR(VLOOKUP(C370,'MATERIAS PRIMAS'!$B$5:$F$104,5,FALSE),0)</f>
        <v>0</v>
      </c>
      <c r="G370" s="33">
        <f t="shared" si="1"/>
        <v>0</v>
      </c>
      <c r="H370" s="36" t="n">
        <f>IFERROR(D370/VLOOKUP(A370,PRODUCTOS!$A$6:$D$35,4,FALSE),0)</f>
        <v>0</v>
      </c>
      <c r="I370" s="386"/>
      <c r="J370" s="3"/>
      <c r="K370" s="3"/>
      <c r="L370" s="3"/>
      <c r="M370" s="3"/>
    </row>
    <row r="371" ht="15.75" customHeight="1">
      <c r="A371" s="386"/>
      <c r="B371" s="26" t="str">
        <f>IFERROR(VLOOKUP(A371,PRODUCTOS!$A$6:$B$35,2,FALSE),"")</f>
      </c>
      <c r="C371" s="386"/>
      <c r="D371" s="386"/>
      <c r="E371" s="386"/>
      <c r="F371" s="33" t="n">
        <f>IFERROR(VLOOKUP(C371,'MATERIAS PRIMAS'!$B$5:$F$104,5,FALSE),0)</f>
        <v>0</v>
      </c>
      <c r="G371" s="33">
        <f t="shared" si="1"/>
        <v>0</v>
      </c>
      <c r="H371" s="36" t="n">
        <f>IFERROR(D371/VLOOKUP(A371,PRODUCTOS!$A$6:$D$35,4,FALSE),0)</f>
        <v>0</v>
      </c>
      <c r="I371" s="386"/>
      <c r="J371" s="3"/>
      <c r="K371" s="3"/>
      <c r="L371" s="3"/>
      <c r="M371" s="3"/>
    </row>
    <row r="372" ht="15.75" customHeight="1">
      <c r="A372" s="386"/>
      <c r="B372" s="26" t="str">
        <f>IFERROR(VLOOKUP(A372,PRODUCTOS!$A$6:$B$35,2,FALSE),"")</f>
      </c>
      <c r="C372" s="386"/>
      <c r="D372" s="386"/>
      <c r="E372" s="386"/>
      <c r="F372" s="33" t="n">
        <f>IFERROR(VLOOKUP(C372,'MATERIAS PRIMAS'!$B$5:$F$104,5,FALSE),0)</f>
        <v>0</v>
      </c>
      <c r="G372" s="33">
        <f t="shared" si="1"/>
        <v>0</v>
      </c>
      <c r="H372" s="36" t="n">
        <f>IFERROR(D372/VLOOKUP(A372,PRODUCTOS!$A$6:$D$35,4,FALSE),0)</f>
        <v>0</v>
      </c>
      <c r="I372" s="386"/>
      <c r="J372" s="3"/>
      <c r="K372" s="3"/>
      <c r="L372" s="3"/>
      <c r="M372" s="3"/>
    </row>
    <row r="373" ht="15.75" customHeight="1">
      <c r="A373" s="386"/>
      <c r="B373" s="26" t="str">
        <f>IFERROR(VLOOKUP(A373,PRODUCTOS!$A$6:$B$35,2,FALSE),"")</f>
      </c>
      <c r="C373" s="386"/>
      <c r="D373" s="386"/>
      <c r="E373" s="386"/>
      <c r="F373" s="33" t="n">
        <f>IFERROR(VLOOKUP(C373,'MATERIAS PRIMAS'!$B$5:$F$104,5,FALSE),0)</f>
        <v>0</v>
      </c>
      <c r="G373" s="33">
        <f t="shared" si="1"/>
        <v>0</v>
      </c>
      <c r="H373" s="36" t="n">
        <f>IFERROR(D373/VLOOKUP(A373,PRODUCTOS!$A$6:$D$35,4,FALSE),0)</f>
        <v>0</v>
      </c>
      <c r="I373" s="386"/>
      <c r="J373" s="3"/>
      <c r="K373" s="3"/>
      <c r="L373" s="3"/>
      <c r="M373" s="3"/>
    </row>
    <row r="374" ht="15.75" customHeight="1">
      <c r="A374" s="386"/>
      <c r="B374" s="26" t="str">
        <f>IFERROR(VLOOKUP(A374,PRODUCTOS!$A$6:$B$35,2,FALSE),"")</f>
      </c>
      <c r="C374" s="386"/>
      <c r="D374" s="386"/>
      <c r="E374" s="386"/>
      <c r="F374" s="33" t="n">
        <f>IFERROR(VLOOKUP(C374,'MATERIAS PRIMAS'!$B$5:$F$104,5,FALSE),0)</f>
        <v>0</v>
      </c>
      <c r="G374" s="33">
        <f t="shared" si="1"/>
        <v>0</v>
      </c>
      <c r="H374" s="36" t="n">
        <f>IFERROR(D374/VLOOKUP(A374,PRODUCTOS!$A$6:$D$35,4,FALSE),0)</f>
        <v>0</v>
      </c>
      <c r="I374" s="386"/>
      <c r="J374" s="3"/>
      <c r="K374" s="3"/>
      <c r="L374" s="3"/>
      <c r="M374" s="3"/>
    </row>
    <row r="375" ht="15.75" customHeight="1">
      <c r="A375" s="386"/>
      <c r="B375" s="26" t="str">
        <f>IFERROR(VLOOKUP(A375,PRODUCTOS!$A$6:$B$35,2,FALSE),"")</f>
      </c>
      <c r="C375" s="386"/>
      <c r="D375" s="386"/>
      <c r="E375" s="386"/>
      <c r="F375" s="33" t="n">
        <f>IFERROR(VLOOKUP(C375,'MATERIAS PRIMAS'!$B$5:$F$104,5,FALSE),0)</f>
        <v>0</v>
      </c>
      <c r="G375" s="33">
        <f t="shared" si="1"/>
        <v>0</v>
      </c>
      <c r="H375" s="36" t="n">
        <f>IFERROR(D375/VLOOKUP(A375,PRODUCTOS!$A$6:$D$35,4,FALSE),0)</f>
        <v>0</v>
      </c>
      <c r="I375" s="386"/>
      <c r="J375" s="3"/>
      <c r="K375" s="3"/>
      <c r="L375" s="3"/>
      <c r="M375" s="3"/>
    </row>
    <row r="376" ht="15.75" customHeight="1">
      <c r="A376" s="386"/>
      <c r="B376" s="26" t="str">
        <f>IFERROR(VLOOKUP(A376,PRODUCTOS!$A$6:$B$35,2,FALSE),"")</f>
      </c>
      <c r="C376" s="386"/>
      <c r="D376" s="386"/>
      <c r="E376" s="386"/>
      <c r="F376" s="33" t="n">
        <f>IFERROR(VLOOKUP(C376,'MATERIAS PRIMAS'!$B$5:$F$104,5,FALSE),0)</f>
        <v>0</v>
      </c>
      <c r="G376" s="33">
        <f t="shared" si="1"/>
        <v>0</v>
      </c>
      <c r="H376" s="36" t="n">
        <f>IFERROR(D376/VLOOKUP(A376,PRODUCTOS!$A$6:$D$35,4,FALSE),0)</f>
        <v>0</v>
      </c>
      <c r="I376" s="386"/>
      <c r="J376" s="3"/>
      <c r="K376" s="3"/>
      <c r="L376" s="3"/>
      <c r="M376" s="3"/>
    </row>
    <row r="377" ht="15.75" customHeight="1">
      <c r="A377" s="386"/>
      <c r="B377" s="26" t="str">
        <f>IFERROR(VLOOKUP(A377,PRODUCTOS!$A$6:$B$35,2,FALSE),"")</f>
      </c>
      <c r="C377" s="386"/>
      <c r="D377" s="386"/>
      <c r="E377" s="386"/>
      <c r="F377" s="33" t="n">
        <f>IFERROR(VLOOKUP(C377,'MATERIAS PRIMAS'!$B$5:$F$104,5,FALSE),0)</f>
        <v>0</v>
      </c>
      <c r="G377" s="33">
        <f t="shared" si="1"/>
        <v>0</v>
      </c>
      <c r="H377" s="36" t="n">
        <f>IFERROR(D377/VLOOKUP(A377,PRODUCTOS!$A$6:$D$35,4,FALSE),0)</f>
        <v>0</v>
      </c>
      <c r="I377" s="386"/>
      <c r="J377" s="3"/>
      <c r="K377" s="3"/>
      <c r="L377" s="3"/>
      <c r="M377" s="3"/>
    </row>
    <row r="378" ht="15.75" customHeight="1">
      <c r="A378" s="386"/>
      <c r="B378" s="26" t="str">
        <f>IFERROR(VLOOKUP(A378,PRODUCTOS!$A$6:$B$35,2,FALSE),"")</f>
      </c>
      <c r="C378" s="386"/>
      <c r="D378" s="386"/>
      <c r="E378" s="386"/>
      <c r="F378" s="33" t="n">
        <f>IFERROR(VLOOKUP(C378,'MATERIAS PRIMAS'!$B$5:$F$104,5,FALSE),0)</f>
        <v>0</v>
      </c>
      <c r="G378" s="33">
        <f t="shared" si="1"/>
        <v>0</v>
      </c>
      <c r="H378" s="36" t="n">
        <f>IFERROR(D378/VLOOKUP(A378,PRODUCTOS!$A$6:$D$35,4,FALSE),0)</f>
        <v>0</v>
      </c>
      <c r="I378" s="386"/>
      <c r="J378" s="3"/>
      <c r="K378" s="3"/>
      <c r="L378" s="3"/>
      <c r="M378" s="3"/>
    </row>
    <row r="379" ht="15.75" customHeight="1">
      <c r="A379" s="386"/>
      <c r="B379" s="26" t="str">
        <f>IFERROR(VLOOKUP(A379,PRODUCTOS!$A$6:$B$35,2,FALSE),"")</f>
      </c>
      <c r="C379" s="386"/>
      <c r="D379" s="386"/>
      <c r="E379" s="386"/>
      <c r="F379" s="33" t="n">
        <f>IFERROR(VLOOKUP(C379,'MATERIAS PRIMAS'!$B$5:$F$104,5,FALSE),0)</f>
        <v>0</v>
      </c>
      <c r="G379" s="33">
        <f t="shared" si="1"/>
        <v>0</v>
      </c>
      <c r="H379" s="36" t="n">
        <f>IFERROR(D379/VLOOKUP(A379,PRODUCTOS!$A$6:$D$35,4,FALSE),0)</f>
        <v>0</v>
      </c>
      <c r="I379" s="386"/>
      <c r="J379" s="3"/>
      <c r="K379" s="3"/>
      <c r="L379" s="3"/>
      <c r="M379" s="3"/>
    </row>
    <row r="380" ht="15.75" customHeight="1">
      <c r="A380" s="386"/>
      <c r="B380" s="26" t="str">
        <f>IFERROR(VLOOKUP(A380,PRODUCTOS!$A$6:$B$35,2,FALSE),"")</f>
      </c>
      <c r="C380" s="386"/>
      <c r="D380" s="386"/>
      <c r="E380" s="386"/>
      <c r="F380" s="33" t="n">
        <f>IFERROR(VLOOKUP(C380,'MATERIAS PRIMAS'!$B$5:$F$104,5,FALSE),0)</f>
        <v>0</v>
      </c>
      <c r="G380" s="33">
        <f t="shared" si="1"/>
        <v>0</v>
      </c>
      <c r="H380" s="36" t="n">
        <f>IFERROR(D380/VLOOKUP(A380,PRODUCTOS!$A$6:$D$35,4,FALSE),0)</f>
        <v>0</v>
      </c>
      <c r="I380" s="386"/>
      <c r="J380" s="3"/>
      <c r="K380" s="3"/>
      <c r="L380" s="3"/>
      <c r="M380" s="3"/>
    </row>
    <row r="381" ht="15.75" customHeight="1">
      <c r="A381" s="386"/>
      <c r="B381" s="26" t="str">
        <f>IFERROR(VLOOKUP(A381,PRODUCTOS!$A$6:$B$35,2,FALSE),"")</f>
      </c>
      <c r="C381" s="386"/>
      <c r="D381" s="386"/>
      <c r="E381" s="386"/>
      <c r="F381" s="33" t="n">
        <f>IFERROR(VLOOKUP(C381,'MATERIAS PRIMAS'!$B$5:$F$104,5,FALSE),0)</f>
        <v>0</v>
      </c>
      <c r="G381" s="33">
        <f t="shared" si="1"/>
        <v>0</v>
      </c>
      <c r="H381" s="36" t="n">
        <f>IFERROR(D381/VLOOKUP(A381,PRODUCTOS!$A$6:$D$35,4,FALSE),0)</f>
        <v>0</v>
      </c>
      <c r="I381" s="386"/>
      <c r="J381" s="3"/>
      <c r="K381" s="3"/>
      <c r="L381" s="3"/>
      <c r="M381" s="3"/>
    </row>
    <row r="382" ht="15.75" customHeight="1">
      <c r="A382" s="386"/>
      <c r="B382" s="26" t="str">
        <f>IFERROR(VLOOKUP(A382,PRODUCTOS!$A$6:$B$35,2,FALSE),"")</f>
      </c>
      <c r="C382" s="386"/>
      <c r="D382" s="386"/>
      <c r="E382" s="386"/>
      <c r="F382" s="33" t="n">
        <f>IFERROR(VLOOKUP(C382,'MATERIAS PRIMAS'!$B$5:$F$104,5,FALSE),0)</f>
        <v>0</v>
      </c>
      <c r="G382" s="33">
        <f t="shared" si="1"/>
        <v>0</v>
      </c>
      <c r="H382" s="36" t="n">
        <f>IFERROR(D382/VLOOKUP(A382,PRODUCTOS!$A$6:$D$35,4,FALSE),0)</f>
        <v>0</v>
      </c>
      <c r="I382" s="386"/>
      <c r="J382" s="3"/>
      <c r="K382" s="3"/>
      <c r="L382" s="3"/>
      <c r="M382" s="3"/>
    </row>
    <row r="383" ht="15.75" customHeight="1">
      <c r="A383" s="386"/>
      <c r="B383" s="26" t="str">
        <f>IFERROR(VLOOKUP(A383,PRODUCTOS!$A$6:$B$35,2,FALSE),"")</f>
      </c>
      <c r="C383" s="386"/>
      <c r="D383" s="386"/>
      <c r="E383" s="386"/>
      <c r="F383" s="33" t="n">
        <f>IFERROR(VLOOKUP(C383,'MATERIAS PRIMAS'!$B$5:$F$104,5,FALSE),0)</f>
        <v>0</v>
      </c>
      <c r="G383" s="33">
        <f t="shared" si="1"/>
        <v>0</v>
      </c>
      <c r="H383" s="36" t="n">
        <f>IFERROR(D383/VLOOKUP(A383,PRODUCTOS!$A$6:$D$35,4,FALSE),0)</f>
        <v>0</v>
      </c>
      <c r="I383" s="386"/>
      <c r="J383" s="3"/>
      <c r="K383" s="3"/>
      <c r="L383" s="3"/>
      <c r="M383" s="3"/>
    </row>
    <row r="384" ht="15.75" customHeight="1">
      <c r="A384" s="386"/>
      <c r="B384" s="26" t="str">
        <f>IFERROR(VLOOKUP(A384,PRODUCTOS!$A$6:$B$35,2,FALSE),"")</f>
      </c>
      <c r="C384" s="386"/>
      <c r="D384" s="386"/>
      <c r="E384" s="386"/>
      <c r="F384" s="33" t="n">
        <f>IFERROR(VLOOKUP(C384,'MATERIAS PRIMAS'!$B$5:$F$104,5,FALSE),0)</f>
        <v>0</v>
      </c>
      <c r="G384" s="33">
        <f t="shared" si="1"/>
        <v>0</v>
      </c>
      <c r="H384" s="36" t="n">
        <f>IFERROR(D384/VLOOKUP(A384,PRODUCTOS!$A$6:$D$35,4,FALSE),0)</f>
        <v>0</v>
      </c>
      <c r="I384" s="386"/>
      <c r="J384" s="3"/>
      <c r="K384" s="3"/>
      <c r="L384" s="3"/>
      <c r="M384" s="3"/>
    </row>
    <row r="385" ht="15.75" customHeight="1">
      <c r="A385" s="386"/>
      <c r="B385" s="26" t="str">
        <f>IFERROR(VLOOKUP(A385,PRODUCTOS!$A$6:$B$35,2,FALSE),"")</f>
      </c>
      <c r="C385" s="386"/>
      <c r="D385" s="386"/>
      <c r="E385" s="386"/>
      <c r="F385" s="33" t="n">
        <f>IFERROR(VLOOKUP(C385,'MATERIAS PRIMAS'!$B$5:$F$104,5,FALSE),0)</f>
        <v>0</v>
      </c>
      <c r="G385" s="33">
        <f t="shared" si="1"/>
        <v>0</v>
      </c>
      <c r="H385" s="36" t="n">
        <f>IFERROR(D385/VLOOKUP(A385,PRODUCTOS!$A$6:$D$35,4,FALSE),0)</f>
        <v>0</v>
      </c>
      <c r="I385" s="386"/>
      <c r="J385" s="3"/>
      <c r="K385" s="3"/>
      <c r="L385" s="3"/>
      <c r="M385" s="3"/>
    </row>
    <row r="386" ht="15.75" customHeight="1">
      <c r="A386" s="386"/>
      <c r="B386" s="26" t="str">
        <f>IFERROR(VLOOKUP(A386,PRODUCTOS!$A$6:$B$35,2,FALSE),"")</f>
      </c>
      <c r="C386" s="386"/>
      <c r="D386" s="386"/>
      <c r="E386" s="386"/>
      <c r="F386" s="33" t="n">
        <f>IFERROR(VLOOKUP(C386,'MATERIAS PRIMAS'!$B$5:$F$104,5,FALSE),0)</f>
        <v>0</v>
      </c>
      <c r="G386" s="33">
        <f t="shared" si="1"/>
        <v>0</v>
      </c>
      <c r="H386" s="36" t="n">
        <f>IFERROR(D386/VLOOKUP(A386,PRODUCTOS!$A$6:$D$35,4,FALSE),0)</f>
        <v>0</v>
      </c>
      <c r="I386" s="386"/>
      <c r="J386" s="3"/>
      <c r="K386" s="3"/>
      <c r="L386" s="3"/>
      <c r="M386" s="3"/>
    </row>
    <row r="387" ht="15.75" customHeight="1">
      <c r="A387" s="386"/>
      <c r="B387" s="26" t="str">
        <f>IFERROR(VLOOKUP(A387,PRODUCTOS!$A$6:$B$35,2,FALSE),"")</f>
      </c>
      <c r="C387" s="386"/>
      <c r="D387" s="386"/>
      <c r="E387" s="386"/>
      <c r="F387" s="33" t="n">
        <f>IFERROR(VLOOKUP(C387,'MATERIAS PRIMAS'!$B$5:$F$104,5,FALSE),0)</f>
        <v>0</v>
      </c>
      <c r="G387" s="33">
        <f t="shared" si="1"/>
        <v>0</v>
      </c>
      <c r="H387" s="36" t="n">
        <f>IFERROR(D387/VLOOKUP(A387,PRODUCTOS!$A$6:$D$35,4,FALSE),0)</f>
        <v>0</v>
      </c>
      <c r="I387" s="386"/>
      <c r="J387" s="3"/>
      <c r="K387" s="3"/>
      <c r="L387" s="3"/>
      <c r="M387" s="3"/>
    </row>
    <row r="388" ht="15.75" customHeight="1">
      <c r="A388" s="386"/>
      <c r="B388" s="26" t="str">
        <f>IFERROR(VLOOKUP(A388,PRODUCTOS!$A$6:$B$35,2,FALSE),"")</f>
      </c>
      <c r="C388" s="386"/>
      <c r="D388" s="386"/>
      <c r="E388" s="386"/>
      <c r="F388" s="33" t="n">
        <f>IFERROR(VLOOKUP(C388,'MATERIAS PRIMAS'!$B$5:$F$104,5,FALSE),0)</f>
        <v>0</v>
      </c>
      <c r="G388" s="33">
        <f t="shared" si="1"/>
        <v>0</v>
      </c>
      <c r="H388" s="36" t="n">
        <f>IFERROR(D388/VLOOKUP(A388,PRODUCTOS!$A$6:$D$35,4,FALSE),0)</f>
        <v>0</v>
      </c>
      <c r="I388" s="386"/>
      <c r="J388" s="3"/>
      <c r="K388" s="3"/>
      <c r="L388" s="3"/>
      <c r="M388" s="3"/>
    </row>
    <row r="389" ht="15.75" customHeight="1">
      <c r="A389" s="386"/>
      <c r="B389" s="26" t="str">
        <f>IFERROR(VLOOKUP(A389,PRODUCTOS!$A$6:$B$35,2,FALSE),"")</f>
      </c>
      <c r="C389" s="386"/>
      <c r="D389" s="386"/>
      <c r="E389" s="386"/>
      <c r="F389" s="33" t="n">
        <f>IFERROR(VLOOKUP(C389,'MATERIAS PRIMAS'!$B$5:$F$104,5,FALSE),0)</f>
        <v>0</v>
      </c>
      <c r="G389" s="33">
        <f t="shared" si="1"/>
        <v>0</v>
      </c>
      <c r="H389" s="36" t="n">
        <f>IFERROR(D389/VLOOKUP(A389,PRODUCTOS!$A$6:$D$35,4,FALSE),0)</f>
        <v>0</v>
      </c>
      <c r="I389" s="386"/>
      <c r="J389" s="3"/>
      <c r="K389" s="3"/>
      <c r="L389" s="3"/>
      <c r="M389" s="3"/>
    </row>
    <row r="390" ht="15.75" customHeight="1">
      <c r="A390" s="386"/>
      <c r="B390" s="26" t="str">
        <f>IFERROR(VLOOKUP(A390,PRODUCTOS!$A$6:$B$35,2,FALSE),"")</f>
      </c>
      <c r="C390" s="386"/>
      <c r="D390" s="386"/>
      <c r="E390" s="386"/>
      <c r="F390" s="33" t="n">
        <f>IFERROR(VLOOKUP(C390,'MATERIAS PRIMAS'!$B$5:$F$104,5,FALSE),0)</f>
        <v>0</v>
      </c>
      <c r="G390" s="33">
        <f t="shared" si="1"/>
        <v>0</v>
      </c>
      <c r="H390" s="36" t="n">
        <f>IFERROR(D390/VLOOKUP(A390,PRODUCTOS!$A$6:$D$35,4,FALSE),0)</f>
        <v>0</v>
      </c>
      <c r="I390" s="386"/>
      <c r="J390" s="3"/>
      <c r="K390" s="3"/>
      <c r="L390" s="3"/>
      <c r="M390" s="3"/>
    </row>
    <row r="391" ht="15.75" customHeight="1">
      <c r="A391" s="386"/>
      <c r="B391" s="26" t="str">
        <f>IFERROR(VLOOKUP(A391,PRODUCTOS!$A$6:$B$35,2,FALSE),"")</f>
      </c>
      <c r="C391" s="386"/>
      <c r="D391" s="386"/>
      <c r="E391" s="386"/>
      <c r="F391" s="33" t="n">
        <f>IFERROR(VLOOKUP(C391,'MATERIAS PRIMAS'!$B$5:$F$104,5,FALSE),0)</f>
        <v>0</v>
      </c>
      <c r="G391" s="33">
        <f t="shared" si="1"/>
        <v>0</v>
      </c>
      <c r="H391" s="36" t="n">
        <f>IFERROR(D391/VLOOKUP(A391,PRODUCTOS!$A$6:$D$35,4,FALSE),0)</f>
        <v>0</v>
      </c>
      <c r="I391" s="386"/>
      <c r="J391" s="3"/>
      <c r="K391" s="3"/>
      <c r="L391" s="3"/>
      <c r="M391" s="3"/>
    </row>
    <row r="392" ht="15.75" customHeight="1">
      <c r="A392" s="386"/>
      <c r="B392" s="26" t="str">
        <f>IFERROR(VLOOKUP(A392,PRODUCTOS!$A$6:$B$35,2,FALSE),"")</f>
      </c>
      <c r="C392" s="386"/>
      <c r="D392" s="386"/>
      <c r="E392" s="386"/>
      <c r="F392" s="33" t="n">
        <f>IFERROR(VLOOKUP(C392,'MATERIAS PRIMAS'!$B$5:$F$104,5,FALSE),0)</f>
        <v>0</v>
      </c>
      <c r="G392" s="33">
        <f t="shared" si="1"/>
        <v>0</v>
      </c>
      <c r="H392" s="36" t="n">
        <f>IFERROR(D392/VLOOKUP(A392,PRODUCTOS!$A$6:$D$35,4,FALSE),0)</f>
        <v>0</v>
      </c>
      <c r="I392" s="386"/>
      <c r="J392" s="3"/>
      <c r="K392" s="3"/>
      <c r="L392" s="3"/>
      <c r="M392" s="3"/>
    </row>
    <row r="393" ht="15.75" customHeight="1">
      <c r="A393" s="386"/>
      <c r="B393" s="26" t="str">
        <f>IFERROR(VLOOKUP(A393,PRODUCTOS!$A$6:$B$35,2,FALSE),"")</f>
      </c>
      <c r="C393" s="386"/>
      <c r="D393" s="386"/>
      <c r="E393" s="386"/>
      <c r="F393" s="33" t="n">
        <f>IFERROR(VLOOKUP(C393,'MATERIAS PRIMAS'!$B$5:$F$104,5,FALSE),0)</f>
        <v>0</v>
      </c>
      <c r="G393" s="33">
        <f t="shared" si="1"/>
        <v>0</v>
      </c>
      <c r="H393" s="36" t="n">
        <f>IFERROR(D393/VLOOKUP(A393,PRODUCTOS!$A$6:$D$35,4,FALSE),0)</f>
        <v>0</v>
      </c>
      <c r="I393" s="386"/>
      <c r="J393" s="3"/>
      <c r="K393" s="3"/>
      <c r="L393" s="3"/>
      <c r="M393" s="3"/>
    </row>
    <row r="394" ht="15.75" customHeight="1">
      <c r="A394" s="386"/>
      <c r="B394" s="26" t="str">
        <f>IFERROR(VLOOKUP(A394,PRODUCTOS!$A$6:$B$35,2,FALSE),"")</f>
      </c>
      <c r="C394" s="386"/>
      <c r="D394" s="386"/>
      <c r="E394" s="386"/>
      <c r="F394" s="33" t="n">
        <f>IFERROR(VLOOKUP(C394,'MATERIAS PRIMAS'!$B$5:$F$104,5,FALSE),0)</f>
        <v>0</v>
      </c>
      <c r="G394" s="33">
        <f t="shared" si="1"/>
        <v>0</v>
      </c>
      <c r="H394" s="36" t="n">
        <f>IFERROR(D394/VLOOKUP(A394,PRODUCTOS!$A$6:$D$35,4,FALSE),0)</f>
        <v>0</v>
      </c>
      <c r="I394" s="386"/>
      <c r="J394" s="3"/>
      <c r="K394" s="3"/>
      <c r="L394" s="3"/>
      <c r="M394" s="3"/>
    </row>
    <row r="395" ht="15.75" customHeight="1">
      <c r="A395" s="386"/>
      <c r="B395" s="26" t="str">
        <f>IFERROR(VLOOKUP(A395,PRODUCTOS!$A$6:$B$35,2,FALSE),"")</f>
      </c>
      <c r="C395" s="386"/>
      <c r="D395" s="386"/>
      <c r="E395" s="386"/>
      <c r="F395" s="33" t="n">
        <f>IFERROR(VLOOKUP(C395,'MATERIAS PRIMAS'!$B$5:$F$104,5,FALSE),0)</f>
        <v>0</v>
      </c>
      <c r="G395" s="33">
        <f t="shared" si="1"/>
        <v>0</v>
      </c>
      <c r="H395" s="36" t="n">
        <f>IFERROR(D395/VLOOKUP(A395,PRODUCTOS!$A$6:$D$35,4,FALSE),0)</f>
        <v>0</v>
      </c>
      <c r="I395" s="386"/>
      <c r="J395" s="3"/>
      <c r="K395" s="3"/>
      <c r="L395" s="3"/>
      <c r="M395" s="3"/>
    </row>
    <row r="396" ht="15.75" customHeight="1">
      <c r="A396" s="386"/>
      <c r="B396" s="26" t="str">
        <f>IFERROR(VLOOKUP(A396,PRODUCTOS!$A$6:$B$35,2,FALSE),"")</f>
      </c>
      <c r="C396" s="386"/>
      <c r="D396" s="386"/>
      <c r="E396" s="386"/>
      <c r="F396" s="33" t="n">
        <f>IFERROR(VLOOKUP(C396,'MATERIAS PRIMAS'!$B$5:$F$104,5,FALSE),0)</f>
        <v>0</v>
      </c>
      <c r="G396" s="33">
        <f t="shared" si="1"/>
        <v>0</v>
      </c>
      <c r="H396" s="36" t="n">
        <f>IFERROR(D396/VLOOKUP(A396,PRODUCTOS!$A$6:$D$35,4,FALSE),0)</f>
        <v>0</v>
      </c>
      <c r="I396" s="386"/>
      <c r="J396" s="3"/>
      <c r="K396" s="3"/>
      <c r="L396" s="3"/>
      <c r="M396" s="3"/>
    </row>
    <row r="397" ht="15.75" customHeight="1">
      <c r="A397" s="386"/>
      <c r="B397" s="26" t="str">
        <f>IFERROR(VLOOKUP(A397,PRODUCTOS!$A$6:$B$35,2,FALSE),"")</f>
      </c>
      <c r="C397" s="386"/>
      <c r="D397" s="386"/>
      <c r="E397" s="386"/>
      <c r="F397" s="33" t="n">
        <f>IFERROR(VLOOKUP(C397,'MATERIAS PRIMAS'!$B$5:$F$104,5,FALSE),0)</f>
        <v>0</v>
      </c>
      <c r="G397" s="33">
        <f t="shared" si="1"/>
        <v>0</v>
      </c>
      <c r="H397" s="36" t="n">
        <f>IFERROR(D397/VLOOKUP(A397,PRODUCTOS!$A$6:$D$35,4,FALSE),0)</f>
        <v>0</v>
      </c>
      <c r="I397" s="386"/>
      <c r="J397" s="3"/>
      <c r="K397" s="3"/>
      <c r="L397" s="3"/>
      <c r="M397" s="3"/>
    </row>
    <row r="398" ht="15.75" customHeight="1">
      <c r="A398" s="386"/>
      <c r="B398" s="26" t="str">
        <f>IFERROR(VLOOKUP(A398,PRODUCTOS!$A$6:$B$35,2,FALSE),"")</f>
      </c>
      <c r="C398" s="386"/>
      <c r="D398" s="386"/>
      <c r="E398" s="386"/>
      <c r="F398" s="33" t="n">
        <f>IFERROR(VLOOKUP(C398,'MATERIAS PRIMAS'!$B$5:$F$104,5,FALSE),0)</f>
        <v>0</v>
      </c>
      <c r="G398" s="33">
        <f t="shared" si="1"/>
        <v>0</v>
      </c>
      <c r="H398" s="36" t="n">
        <f>IFERROR(D398/VLOOKUP(A398,PRODUCTOS!$A$6:$D$35,4,FALSE),0)</f>
        <v>0</v>
      </c>
      <c r="I398" s="386"/>
      <c r="J398" s="3"/>
      <c r="K398" s="3"/>
      <c r="L398" s="3"/>
      <c r="M398" s="3"/>
    </row>
    <row r="399" ht="15.75" customHeight="1">
      <c r="A399" s="386"/>
      <c r="B399" s="26" t="str">
        <f>IFERROR(VLOOKUP(A399,PRODUCTOS!$A$6:$B$35,2,FALSE),"")</f>
      </c>
      <c r="C399" s="386"/>
      <c r="D399" s="386"/>
      <c r="E399" s="386"/>
      <c r="F399" s="33" t="n">
        <f>IFERROR(VLOOKUP(C399,'MATERIAS PRIMAS'!$B$5:$F$104,5,FALSE),0)</f>
        <v>0</v>
      </c>
      <c r="G399" s="33">
        <f t="shared" si="1"/>
        <v>0</v>
      </c>
      <c r="H399" s="36" t="n">
        <f>IFERROR(D399/VLOOKUP(A399,PRODUCTOS!$A$6:$D$35,4,FALSE),0)</f>
        <v>0</v>
      </c>
      <c r="I399" s="386"/>
      <c r="J399" s="3"/>
      <c r="K399" s="3"/>
      <c r="L399" s="3"/>
      <c r="M399" s="3"/>
    </row>
    <row r="400" ht="15.75" customHeight="1">
      <c r="A400" s="386"/>
      <c r="B400" s="26" t="str">
        <f>IFERROR(VLOOKUP(A400,PRODUCTOS!$A$6:$B$35,2,FALSE),"")</f>
      </c>
      <c r="C400" s="386"/>
      <c r="D400" s="386"/>
      <c r="E400" s="386"/>
      <c r="F400" s="33" t="n">
        <f>IFERROR(VLOOKUP(C400,'MATERIAS PRIMAS'!$B$5:$F$104,5,FALSE),0)</f>
        <v>0</v>
      </c>
      <c r="G400" s="33">
        <f t="shared" si="1"/>
        <v>0</v>
      </c>
      <c r="H400" s="36" t="n">
        <f>IFERROR(D400/VLOOKUP(A400,PRODUCTOS!$A$6:$D$35,4,FALSE),0)</f>
        <v>0</v>
      </c>
      <c r="I400" s="386"/>
      <c r="J400" s="3"/>
      <c r="K400" s="3"/>
      <c r="L400" s="3"/>
      <c r="M400" s="3"/>
    </row>
    <row r="401" ht="15.75" customHeight="1">
      <c r="A401" s="386"/>
      <c r="B401" s="26" t="str">
        <f>IFERROR(VLOOKUP(A401,PRODUCTOS!$A$6:$B$35,2,FALSE),"")</f>
      </c>
      <c r="C401" s="386"/>
      <c r="D401" s="386"/>
      <c r="E401" s="386"/>
      <c r="F401" s="33" t="n">
        <f>IFERROR(VLOOKUP(C401,'MATERIAS PRIMAS'!$B$5:$F$104,5,FALSE),0)</f>
        <v>0</v>
      </c>
      <c r="G401" s="33">
        <f t="shared" si="1"/>
        <v>0</v>
      </c>
      <c r="H401" s="36" t="n">
        <f>IFERROR(D401/VLOOKUP(A401,PRODUCTOS!$A$6:$D$35,4,FALSE),0)</f>
        <v>0</v>
      </c>
      <c r="I401" s="386"/>
      <c r="J401" s="3"/>
      <c r="K401" s="3"/>
      <c r="L401" s="3"/>
      <c r="M401" s="3"/>
    </row>
    <row r="402" ht="15.75" customHeight="1">
      <c r="A402" s="386"/>
      <c r="B402" s="26" t="str">
        <f>IFERROR(VLOOKUP(A402,PRODUCTOS!$A$6:$B$35,2,FALSE),"")</f>
      </c>
      <c r="C402" s="386"/>
      <c r="D402" s="386"/>
      <c r="E402" s="386"/>
      <c r="F402" s="33" t="n">
        <f>IFERROR(VLOOKUP(C402,'MATERIAS PRIMAS'!$B$5:$F$104,5,FALSE),0)</f>
        <v>0</v>
      </c>
      <c r="G402" s="33">
        <f t="shared" si="1"/>
        <v>0</v>
      </c>
      <c r="H402" s="36" t="n">
        <f>IFERROR(D402/VLOOKUP(A402,PRODUCTOS!$A$6:$D$35,4,FALSE),0)</f>
        <v>0</v>
      </c>
      <c r="I402" s="386"/>
      <c r="J402" s="3"/>
      <c r="K402" s="3"/>
      <c r="L402" s="3"/>
      <c r="M402" s="3"/>
    </row>
    <row r="403" ht="15.75" customHeight="1">
      <c r="A403" s="386"/>
      <c r="B403" s="26" t="str">
        <f>IFERROR(VLOOKUP(A403,PRODUCTOS!$A$6:$B$35,2,FALSE),"")</f>
      </c>
      <c r="C403" s="386"/>
      <c r="D403" s="386"/>
      <c r="E403" s="386"/>
      <c r="F403" s="33" t="n">
        <f>IFERROR(VLOOKUP(C403,'MATERIAS PRIMAS'!$B$5:$F$104,5,FALSE),0)</f>
        <v>0</v>
      </c>
      <c r="G403" s="33">
        <f t="shared" si="1"/>
        <v>0</v>
      </c>
      <c r="H403" s="36" t="n">
        <f>IFERROR(D403/VLOOKUP(A403,PRODUCTOS!$A$6:$D$35,4,FALSE),0)</f>
        <v>0</v>
      </c>
      <c r="I403" s="386"/>
      <c r="J403" s="3"/>
      <c r="K403" s="3"/>
      <c r="L403" s="3"/>
      <c r="M403" s="3"/>
    </row>
    <row r="404" ht="15.75" customHeight="1">
      <c r="A404" s="386"/>
      <c r="B404" s="26" t="str">
        <f>IFERROR(VLOOKUP(A404,PRODUCTOS!$A$6:$B$35,2,FALSE),"")</f>
      </c>
      <c r="C404" s="386"/>
      <c r="D404" s="386"/>
      <c r="E404" s="386"/>
      <c r="F404" s="33" t="n">
        <f>IFERROR(VLOOKUP(C404,'MATERIAS PRIMAS'!$B$5:$F$104,5,FALSE),0)</f>
        <v>0</v>
      </c>
      <c r="G404" s="33">
        <f t="shared" si="1"/>
        <v>0</v>
      </c>
      <c r="H404" s="36" t="n">
        <f>IFERROR(D404/VLOOKUP(A404,PRODUCTOS!$A$6:$D$35,4,FALSE),0)</f>
        <v>0</v>
      </c>
      <c r="I404" s="386"/>
      <c r="J404" s="3"/>
      <c r="K404" s="3"/>
      <c r="L404" s="3"/>
      <c r="M404" s="3"/>
    </row>
    <row r="405" ht="15.75" customHeight="1">
      <c r="A405" s="386"/>
      <c r="B405" s="26" t="str">
        <f>IFERROR(VLOOKUP(A405,PRODUCTOS!$A$6:$B$35,2,FALSE),"")</f>
      </c>
      <c r="C405" s="386"/>
      <c r="D405" s="386"/>
      <c r="E405" s="386"/>
      <c r="F405" s="33" t="n">
        <f>IFERROR(VLOOKUP(C405,'MATERIAS PRIMAS'!$B$5:$F$104,5,FALSE),0)</f>
        <v>0</v>
      </c>
      <c r="G405" s="33">
        <f t="shared" si="1"/>
        <v>0</v>
      </c>
      <c r="H405" s="36" t="n">
        <f>IFERROR(D405/VLOOKUP(A405,PRODUCTOS!$A$6:$D$35,4,FALSE),0)</f>
        <v>0</v>
      </c>
      <c r="I405" s="386"/>
      <c r="J405" s="3"/>
      <c r="K405" s="3"/>
      <c r="L405" s="3"/>
      <c r="M405" s="3"/>
    </row>
    <row r="406" ht="15.75" customHeight="1">
      <c r="A406" s="386"/>
      <c r="B406" s="26" t="str">
        <f>IFERROR(VLOOKUP(A406,PRODUCTOS!$A$6:$B$35,2,FALSE),"")</f>
      </c>
      <c r="C406" s="386"/>
      <c r="D406" s="386"/>
      <c r="E406" s="386"/>
      <c r="F406" s="33" t="n">
        <f>IFERROR(VLOOKUP(C406,'MATERIAS PRIMAS'!$B$5:$F$104,5,FALSE),0)</f>
        <v>0</v>
      </c>
      <c r="G406" s="33">
        <f t="shared" si="1"/>
        <v>0</v>
      </c>
      <c r="H406" s="36" t="n">
        <f>IFERROR(D406/VLOOKUP(A406,PRODUCTOS!$A$6:$D$35,4,FALSE),0)</f>
        <v>0</v>
      </c>
      <c r="I406" s="386"/>
      <c r="J406" s="3"/>
      <c r="K406" s="3"/>
      <c r="L406" s="3"/>
      <c r="M406" s="3"/>
    </row>
    <row r="407" ht="15.75" customHeight="1">
      <c r="A407" s="386"/>
      <c r="B407" s="26" t="str">
        <f>IFERROR(VLOOKUP(A407,PRODUCTOS!$A$6:$B$35,2,FALSE),"")</f>
      </c>
      <c r="C407" s="386"/>
      <c r="D407" s="386"/>
      <c r="E407" s="386"/>
      <c r="F407" s="33" t="n">
        <f>IFERROR(VLOOKUP(C407,'MATERIAS PRIMAS'!$B$5:$F$104,5,FALSE),0)</f>
        <v>0</v>
      </c>
      <c r="G407" s="33">
        <f t="shared" si="1"/>
        <v>0</v>
      </c>
      <c r="H407" s="36" t="n">
        <f>IFERROR(D407/VLOOKUP(A407,PRODUCTOS!$A$6:$D$35,4,FALSE),0)</f>
        <v>0</v>
      </c>
      <c r="I407" s="386"/>
      <c r="J407" s="3"/>
      <c r="K407" s="3"/>
      <c r="L407" s="3"/>
      <c r="M407" s="3"/>
    </row>
    <row r="408" ht="15.75" customHeight="1">
      <c r="A408" s="386"/>
      <c r="B408" s="26" t="str">
        <f>IFERROR(VLOOKUP(A408,PRODUCTOS!$A$6:$B$35,2,FALSE),"")</f>
      </c>
      <c r="C408" s="386"/>
      <c r="D408" s="386"/>
      <c r="E408" s="386"/>
      <c r="F408" s="33" t="n">
        <f>IFERROR(VLOOKUP(C408,'MATERIAS PRIMAS'!$B$5:$F$104,5,FALSE),0)</f>
        <v>0</v>
      </c>
      <c r="G408" s="33">
        <f t="shared" si="1"/>
        <v>0</v>
      </c>
      <c r="H408" s="36" t="n">
        <f>IFERROR(D408/VLOOKUP(A408,PRODUCTOS!$A$6:$D$35,4,FALSE),0)</f>
        <v>0</v>
      </c>
      <c r="I408" s="386"/>
      <c r="J408" s="3"/>
      <c r="K408" s="3"/>
      <c r="L408" s="3"/>
      <c r="M408" s="3"/>
    </row>
    <row r="409" ht="15.75" customHeight="1">
      <c r="A409" s="386"/>
      <c r="B409" s="26" t="str">
        <f>IFERROR(VLOOKUP(A409,PRODUCTOS!$A$6:$B$35,2,FALSE),"")</f>
      </c>
      <c r="C409" s="386"/>
      <c r="D409" s="386"/>
      <c r="E409" s="386"/>
      <c r="F409" s="33" t="n">
        <f>IFERROR(VLOOKUP(C409,'MATERIAS PRIMAS'!$B$5:$F$104,5,FALSE),0)</f>
        <v>0</v>
      </c>
      <c r="G409" s="33">
        <f t="shared" si="1"/>
        <v>0</v>
      </c>
      <c r="H409" s="36" t="n">
        <f>IFERROR(D409/VLOOKUP(A409,PRODUCTOS!$A$6:$D$35,4,FALSE),0)</f>
        <v>0</v>
      </c>
      <c r="I409" s="386"/>
      <c r="J409" s="3"/>
      <c r="K409" s="3"/>
      <c r="L409" s="3"/>
      <c r="M409" s="3"/>
    </row>
    <row r="410" ht="15.75" customHeight="1">
      <c r="A410" s="386"/>
      <c r="B410" s="26" t="str">
        <f>IFERROR(VLOOKUP(A410,PRODUCTOS!$A$6:$B$35,2,FALSE),"")</f>
      </c>
      <c r="C410" s="386"/>
      <c r="D410" s="386"/>
      <c r="E410" s="386"/>
      <c r="F410" s="33" t="n">
        <f>IFERROR(VLOOKUP(C410,'MATERIAS PRIMAS'!$B$5:$F$104,5,FALSE),0)</f>
        <v>0</v>
      </c>
      <c r="G410" s="33">
        <f t="shared" si="1"/>
        <v>0</v>
      </c>
      <c r="H410" s="36" t="n">
        <f>IFERROR(D410/VLOOKUP(A410,PRODUCTOS!$A$6:$D$35,4,FALSE),0)</f>
        <v>0</v>
      </c>
      <c r="I410" s="386"/>
      <c r="J410" s="3"/>
      <c r="K410" s="3"/>
      <c r="L410" s="3"/>
      <c r="M410" s="3"/>
    </row>
    <row r="411" ht="15.75" customHeight="1">
      <c r="A411" s="386"/>
      <c r="B411" s="26" t="str">
        <f>IFERROR(VLOOKUP(A411,PRODUCTOS!$A$6:$B$35,2,FALSE),"")</f>
      </c>
      <c r="C411" s="386"/>
      <c r="D411" s="386"/>
      <c r="E411" s="386"/>
      <c r="F411" s="33" t="n">
        <f>IFERROR(VLOOKUP(C411,'MATERIAS PRIMAS'!$B$5:$F$104,5,FALSE),0)</f>
        <v>0</v>
      </c>
      <c r="G411" s="33">
        <f t="shared" si="1"/>
        <v>0</v>
      </c>
      <c r="H411" s="36" t="n">
        <f>IFERROR(D411/VLOOKUP(A411,PRODUCTOS!$A$6:$D$35,4,FALSE),0)</f>
        <v>0</v>
      </c>
      <c r="I411" s="386"/>
      <c r="J411" s="3"/>
      <c r="K411" s="3"/>
      <c r="L411" s="3"/>
      <c r="M411" s="3"/>
    </row>
    <row r="412" ht="15.75" customHeight="1">
      <c r="A412" s="386"/>
      <c r="B412" s="26" t="str">
        <f>IFERROR(VLOOKUP(A412,PRODUCTOS!$A$6:$B$35,2,FALSE),"")</f>
      </c>
      <c r="C412" s="386"/>
      <c r="D412" s="386"/>
      <c r="E412" s="386"/>
      <c r="F412" s="33" t="n">
        <f>IFERROR(VLOOKUP(C412,'MATERIAS PRIMAS'!$B$5:$F$104,5,FALSE),0)</f>
        <v>0</v>
      </c>
      <c r="G412" s="33">
        <f t="shared" si="1"/>
        <v>0</v>
      </c>
      <c r="H412" s="36" t="n">
        <f>IFERROR(D412/VLOOKUP(A412,PRODUCTOS!$A$6:$D$35,4,FALSE),0)</f>
        <v>0</v>
      </c>
      <c r="I412" s="386"/>
      <c r="J412" s="3"/>
      <c r="K412" s="3"/>
      <c r="L412" s="3"/>
      <c r="M412" s="3"/>
    </row>
    <row r="413" ht="15.75" customHeight="1">
      <c r="A413" s="386"/>
      <c r="B413" s="26" t="str">
        <f>IFERROR(VLOOKUP(A413,PRODUCTOS!$A$6:$B$35,2,FALSE),"")</f>
      </c>
      <c r="C413" s="386"/>
      <c r="D413" s="386"/>
      <c r="E413" s="386"/>
      <c r="F413" s="33" t="n">
        <f>IFERROR(VLOOKUP(C413,'MATERIAS PRIMAS'!$B$5:$F$104,5,FALSE),0)</f>
        <v>0</v>
      </c>
      <c r="G413" s="33">
        <f t="shared" si="1"/>
        <v>0</v>
      </c>
      <c r="H413" s="36" t="n">
        <f>IFERROR(D413/VLOOKUP(A413,PRODUCTOS!$A$6:$D$35,4,FALSE),0)</f>
        <v>0</v>
      </c>
      <c r="I413" s="386"/>
      <c r="J413" s="3"/>
      <c r="K413" s="3"/>
      <c r="L413" s="3"/>
      <c r="M413" s="3"/>
    </row>
    <row r="414" ht="15.75" customHeight="1">
      <c r="A414" s="386"/>
      <c r="B414" s="26" t="str">
        <f>IFERROR(VLOOKUP(A414,PRODUCTOS!$A$6:$B$35,2,FALSE),"")</f>
      </c>
      <c r="C414" s="386"/>
      <c r="D414" s="386"/>
      <c r="E414" s="386"/>
      <c r="F414" s="33" t="n">
        <f>IFERROR(VLOOKUP(C414,'MATERIAS PRIMAS'!$B$5:$F$104,5,FALSE),0)</f>
        <v>0</v>
      </c>
      <c r="G414" s="33">
        <f t="shared" si="1"/>
        <v>0</v>
      </c>
      <c r="H414" s="36" t="n">
        <f>IFERROR(D414/VLOOKUP(A414,PRODUCTOS!$A$6:$D$35,4,FALSE),0)</f>
        <v>0</v>
      </c>
      <c r="I414" s="386"/>
      <c r="J414" s="3"/>
      <c r="K414" s="3"/>
      <c r="L414" s="3"/>
      <c r="M414" s="3"/>
    </row>
    <row r="415" ht="15.75" customHeight="1">
      <c r="A415" s="386"/>
      <c r="B415" s="26" t="str">
        <f>IFERROR(VLOOKUP(A415,PRODUCTOS!$A$6:$B$35,2,FALSE),"")</f>
      </c>
      <c r="C415" s="386"/>
      <c r="D415" s="386"/>
      <c r="E415" s="386"/>
      <c r="F415" s="33" t="n">
        <f>IFERROR(VLOOKUP(C415,'MATERIAS PRIMAS'!$B$5:$F$104,5,FALSE),0)</f>
        <v>0</v>
      </c>
      <c r="G415" s="33">
        <f t="shared" si="1"/>
        <v>0</v>
      </c>
      <c r="H415" s="36" t="n">
        <f>IFERROR(D415/VLOOKUP(A415,PRODUCTOS!$A$6:$D$35,4,FALSE),0)</f>
        <v>0</v>
      </c>
      <c r="I415" s="386"/>
      <c r="J415" s="3"/>
      <c r="K415" s="3"/>
      <c r="L415" s="3"/>
      <c r="M415" s="3"/>
    </row>
    <row r="416" ht="15.75" customHeight="1">
      <c r="A416" s="386"/>
      <c r="B416" s="26" t="str">
        <f>IFERROR(VLOOKUP(A416,PRODUCTOS!$A$6:$B$35,2,FALSE),"")</f>
      </c>
      <c r="C416" s="386"/>
      <c r="D416" s="386"/>
      <c r="E416" s="386"/>
      <c r="F416" s="33" t="n">
        <f>IFERROR(VLOOKUP(C416,'MATERIAS PRIMAS'!$B$5:$F$104,5,FALSE),0)</f>
        <v>0</v>
      </c>
      <c r="G416" s="33">
        <f t="shared" si="1"/>
        <v>0</v>
      </c>
      <c r="H416" s="36" t="n">
        <f>IFERROR(D416/VLOOKUP(A416,PRODUCTOS!$A$6:$D$35,4,FALSE),0)</f>
        <v>0</v>
      </c>
      <c r="I416" s="386"/>
      <c r="J416" s="3"/>
      <c r="K416" s="3"/>
      <c r="L416" s="3"/>
      <c r="M416" s="3"/>
    </row>
    <row r="417" ht="15.75" customHeight="1">
      <c r="A417" s="386"/>
      <c r="B417" s="26" t="str">
        <f>IFERROR(VLOOKUP(A417,PRODUCTOS!$A$6:$B$35,2,FALSE),"")</f>
      </c>
      <c r="C417" s="386"/>
      <c r="D417" s="386"/>
      <c r="E417" s="386"/>
      <c r="F417" s="33" t="n">
        <f>IFERROR(VLOOKUP(C417,'MATERIAS PRIMAS'!$B$5:$F$104,5,FALSE),0)</f>
        <v>0</v>
      </c>
      <c r="G417" s="33">
        <f t="shared" si="1"/>
        <v>0</v>
      </c>
      <c r="H417" s="36" t="n">
        <f>IFERROR(D417/VLOOKUP(A417,PRODUCTOS!$A$6:$D$35,4,FALSE),0)</f>
        <v>0</v>
      </c>
      <c r="I417" s="386"/>
      <c r="J417" s="3"/>
      <c r="K417" s="3"/>
      <c r="L417" s="3"/>
      <c r="M417" s="3"/>
    </row>
    <row r="418" ht="15.75" customHeight="1">
      <c r="A418" s="386"/>
      <c r="B418" s="26" t="str">
        <f>IFERROR(VLOOKUP(A418,PRODUCTOS!$A$6:$B$35,2,FALSE),"")</f>
      </c>
      <c r="C418" s="386"/>
      <c r="D418" s="386"/>
      <c r="E418" s="386"/>
      <c r="F418" s="33" t="n">
        <f>IFERROR(VLOOKUP(C418,'MATERIAS PRIMAS'!$B$5:$F$104,5,FALSE),0)</f>
        <v>0</v>
      </c>
      <c r="G418" s="33">
        <f t="shared" si="1"/>
        <v>0</v>
      </c>
      <c r="H418" s="36" t="n">
        <f>IFERROR(D418/VLOOKUP(A418,PRODUCTOS!$A$6:$D$35,4,FALSE),0)</f>
        <v>0</v>
      </c>
      <c r="I418" s="386"/>
      <c r="J418" s="3"/>
      <c r="K418" s="3"/>
      <c r="L418" s="3"/>
      <c r="M418" s="3"/>
    </row>
    <row r="419" ht="15.75" customHeight="1">
      <c r="A419" s="386"/>
      <c r="B419" s="26" t="str">
        <f>IFERROR(VLOOKUP(A419,PRODUCTOS!$A$6:$B$35,2,FALSE),"")</f>
      </c>
      <c r="C419" s="386"/>
      <c r="D419" s="386"/>
      <c r="E419" s="386"/>
      <c r="F419" s="33" t="n">
        <f>IFERROR(VLOOKUP(C419,'MATERIAS PRIMAS'!$B$5:$F$104,5,FALSE),0)</f>
        <v>0</v>
      </c>
      <c r="G419" s="33">
        <f t="shared" si="1"/>
        <v>0</v>
      </c>
      <c r="H419" s="36" t="n">
        <f>IFERROR(D419/VLOOKUP(A419,PRODUCTOS!$A$6:$D$35,4,FALSE),0)</f>
        <v>0</v>
      </c>
      <c r="I419" s="386"/>
      <c r="J419" s="3"/>
      <c r="K419" s="3"/>
      <c r="L419" s="3"/>
      <c r="M419" s="3"/>
    </row>
    <row r="420" ht="15.75" customHeight="1">
      <c r="A420" s="386"/>
      <c r="B420" s="26" t="str">
        <f>IFERROR(VLOOKUP(A420,PRODUCTOS!$A$6:$B$35,2,FALSE),"")</f>
      </c>
      <c r="C420" s="386"/>
      <c r="D420" s="386"/>
      <c r="E420" s="386"/>
      <c r="F420" s="33" t="n">
        <f>IFERROR(VLOOKUP(C420,'MATERIAS PRIMAS'!$B$5:$F$104,5,FALSE),0)</f>
        <v>0</v>
      </c>
      <c r="G420" s="33">
        <f t="shared" si="1"/>
        <v>0</v>
      </c>
      <c r="H420" s="36" t="n">
        <f>IFERROR(D420/VLOOKUP(A420,PRODUCTOS!$A$6:$D$35,4,FALSE),0)</f>
        <v>0</v>
      </c>
      <c r="I420" s="386"/>
      <c r="J420" s="3"/>
      <c r="K420" s="3"/>
      <c r="L420" s="3"/>
      <c r="M420" s="3"/>
    </row>
    <row r="421" ht="15.75" customHeight="1">
      <c r="A421" s="386"/>
      <c r="B421" s="26" t="str">
        <f>IFERROR(VLOOKUP(A421,PRODUCTOS!$A$6:$B$35,2,FALSE),"")</f>
      </c>
      <c r="C421" s="386"/>
      <c r="D421" s="386"/>
      <c r="E421" s="386"/>
      <c r="F421" s="33" t="n">
        <f>IFERROR(VLOOKUP(C421,'MATERIAS PRIMAS'!$B$5:$F$104,5,FALSE),0)</f>
        <v>0</v>
      </c>
      <c r="G421" s="33">
        <f t="shared" si="1"/>
        <v>0</v>
      </c>
      <c r="H421" s="36" t="n">
        <f>IFERROR(D421/VLOOKUP(A421,PRODUCTOS!$A$6:$D$35,4,FALSE),0)</f>
        <v>0</v>
      </c>
      <c r="I421" s="386"/>
      <c r="J421" s="3"/>
      <c r="K421" s="3"/>
      <c r="L421" s="3"/>
      <c r="M421" s="3"/>
    </row>
    <row r="422" ht="15.75" customHeight="1">
      <c r="A422" s="386"/>
      <c r="B422" s="26" t="str">
        <f>IFERROR(VLOOKUP(A422,PRODUCTOS!$A$6:$B$35,2,FALSE),"")</f>
      </c>
      <c r="C422" s="386"/>
      <c r="D422" s="386"/>
      <c r="E422" s="386"/>
      <c r="F422" s="33" t="n">
        <f>IFERROR(VLOOKUP(C422,'MATERIAS PRIMAS'!$B$5:$F$104,5,FALSE),0)</f>
        <v>0</v>
      </c>
      <c r="G422" s="33">
        <f t="shared" si="1"/>
        <v>0</v>
      </c>
      <c r="H422" s="36" t="n">
        <f>IFERROR(D422/VLOOKUP(A422,PRODUCTOS!$A$6:$D$35,4,FALSE),0)</f>
        <v>0</v>
      </c>
      <c r="I422" s="386"/>
      <c r="J422" s="3"/>
      <c r="K422" s="3"/>
      <c r="L422" s="3"/>
      <c r="M422" s="3"/>
    </row>
    <row r="423" ht="15.75" customHeight="1">
      <c r="A423" s="386"/>
      <c r="B423" s="26" t="str">
        <f>IFERROR(VLOOKUP(A423,PRODUCTOS!$A$6:$B$35,2,FALSE),"")</f>
      </c>
      <c r="C423" s="386"/>
      <c r="D423" s="386"/>
      <c r="E423" s="386"/>
      <c r="F423" s="33" t="n">
        <f>IFERROR(VLOOKUP(C423,'MATERIAS PRIMAS'!$B$5:$F$104,5,FALSE),0)</f>
        <v>0</v>
      </c>
      <c r="G423" s="33">
        <f t="shared" si="1"/>
        <v>0</v>
      </c>
      <c r="H423" s="36" t="n">
        <f>IFERROR(D423/VLOOKUP(A423,PRODUCTOS!$A$6:$D$35,4,FALSE),0)</f>
        <v>0</v>
      </c>
      <c r="I423" s="386"/>
      <c r="J423" s="3"/>
      <c r="K423" s="3"/>
      <c r="L423" s="3"/>
      <c r="M423" s="3"/>
    </row>
    <row r="424" ht="15.75" customHeight="1">
      <c r="A424" s="386"/>
      <c r="B424" s="26" t="str">
        <f>IFERROR(VLOOKUP(A424,PRODUCTOS!$A$6:$B$35,2,FALSE),"")</f>
      </c>
      <c r="C424" s="386"/>
      <c r="D424" s="386"/>
      <c r="E424" s="386"/>
      <c r="F424" s="33" t="n">
        <f>IFERROR(VLOOKUP(C424,'MATERIAS PRIMAS'!$B$5:$F$104,5,FALSE),0)</f>
        <v>0</v>
      </c>
      <c r="G424" s="33">
        <f t="shared" si="1"/>
        <v>0</v>
      </c>
      <c r="H424" s="36" t="n">
        <f>IFERROR(D424/VLOOKUP(A424,PRODUCTOS!$A$6:$D$35,4,FALSE),0)</f>
        <v>0</v>
      </c>
      <c r="I424" s="386"/>
      <c r="J424" s="3"/>
      <c r="K424" s="3"/>
      <c r="L424" s="3"/>
      <c r="M424" s="3"/>
    </row>
    <row r="425" ht="15.75" customHeight="1">
      <c r="A425" s="386"/>
      <c r="B425" s="26" t="str">
        <f>IFERROR(VLOOKUP(A425,PRODUCTOS!$A$6:$B$35,2,FALSE),"")</f>
      </c>
      <c r="C425" s="386"/>
      <c r="D425" s="386"/>
      <c r="E425" s="386"/>
      <c r="F425" s="33" t="n">
        <f>IFERROR(VLOOKUP(C425,'MATERIAS PRIMAS'!$B$5:$F$104,5,FALSE),0)</f>
        <v>0</v>
      </c>
      <c r="G425" s="33">
        <f t="shared" si="1"/>
        <v>0</v>
      </c>
      <c r="H425" s="36" t="n">
        <f>IFERROR(D425/VLOOKUP(A425,PRODUCTOS!$A$6:$D$35,4,FALSE),0)</f>
        <v>0</v>
      </c>
      <c r="I425" s="386"/>
      <c r="J425" s="3"/>
      <c r="K425" s="3"/>
      <c r="L425" s="3"/>
      <c r="M425" s="3"/>
    </row>
    <row r="426" ht="15.75" customHeight="1">
      <c r="A426" s="386"/>
      <c r="B426" s="26" t="str">
        <f>IFERROR(VLOOKUP(A426,PRODUCTOS!$A$6:$B$35,2,FALSE),"")</f>
      </c>
      <c r="C426" s="386"/>
      <c r="D426" s="386"/>
      <c r="E426" s="386"/>
      <c r="F426" s="33" t="n">
        <f>IFERROR(VLOOKUP(C426,'MATERIAS PRIMAS'!$B$5:$F$104,5,FALSE),0)</f>
        <v>0</v>
      </c>
      <c r="G426" s="33">
        <f t="shared" si="1"/>
        <v>0</v>
      </c>
      <c r="H426" s="36" t="n">
        <f>IFERROR(D426/VLOOKUP(A426,PRODUCTOS!$A$6:$D$35,4,FALSE),0)</f>
        <v>0</v>
      </c>
      <c r="I426" s="386"/>
      <c r="J426" s="3"/>
      <c r="K426" s="3"/>
      <c r="L426" s="3"/>
      <c r="M426" s="3"/>
    </row>
    <row r="427" ht="15.75" customHeight="1">
      <c r="A427" s="386"/>
      <c r="B427" s="26" t="str">
        <f>IFERROR(VLOOKUP(A427,PRODUCTOS!$A$6:$B$35,2,FALSE),"")</f>
      </c>
      <c r="C427" s="386"/>
      <c r="D427" s="386"/>
      <c r="E427" s="386"/>
      <c r="F427" s="33" t="n">
        <f>IFERROR(VLOOKUP(C427,'MATERIAS PRIMAS'!$B$5:$F$104,5,FALSE),0)</f>
        <v>0</v>
      </c>
      <c r="G427" s="33">
        <f t="shared" si="1"/>
        <v>0</v>
      </c>
      <c r="H427" s="36" t="n">
        <f>IFERROR(D427/VLOOKUP(A427,PRODUCTOS!$A$6:$D$35,4,FALSE),0)</f>
        <v>0</v>
      </c>
      <c r="I427" s="386"/>
      <c r="J427" s="3"/>
      <c r="K427" s="3"/>
      <c r="L427" s="3"/>
      <c r="M427" s="3"/>
    </row>
    <row r="428" ht="15.75" customHeight="1">
      <c r="A428" s="386"/>
      <c r="B428" s="26" t="str">
        <f>IFERROR(VLOOKUP(A428,PRODUCTOS!$A$6:$B$35,2,FALSE),"")</f>
      </c>
      <c r="C428" s="386"/>
      <c r="D428" s="386"/>
      <c r="E428" s="386"/>
      <c r="F428" s="33" t="n">
        <f>IFERROR(VLOOKUP(C428,'MATERIAS PRIMAS'!$B$5:$F$104,5,FALSE),0)</f>
        <v>0</v>
      </c>
      <c r="G428" s="33">
        <f t="shared" si="1"/>
        <v>0</v>
      </c>
      <c r="H428" s="36" t="n">
        <f>IFERROR(D428/VLOOKUP(A428,PRODUCTOS!$A$6:$D$35,4,FALSE),0)</f>
        <v>0</v>
      </c>
      <c r="I428" s="386"/>
      <c r="J428" s="3"/>
      <c r="K428" s="3"/>
      <c r="L428" s="3"/>
      <c r="M428" s="3"/>
    </row>
    <row r="429" ht="15.75" customHeight="1">
      <c r="A429" s="386"/>
      <c r="B429" s="26" t="str">
        <f>IFERROR(VLOOKUP(A429,PRODUCTOS!$A$6:$B$35,2,FALSE),"")</f>
      </c>
      <c r="C429" s="386"/>
      <c r="D429" s="386"/>
      <c r="E429" s="386"/>
      <c r="F429" s="33" t="n">
        <f>IFERROR(VLOOKUP(C429,'MATERIAS PRIMAS'!$B$5:$F$104,5,FALSE),0)</f>
        <v>0</v>
      </c>
      <c r="G429" s="33">
        <f t="shared" si="1"/>
        <v>0</v>
      </c>
      <c r="H429" s="36" t="n">
        <f>IFERROR(D429/VLOOKUP(A429,PRODUCTOS!$A$6:$D$35,4,FALSE),0)</f>
        <v>0</v>
      </c>
      <c r="I429" s="386"/>
      <c r="J429" s="3"/>
      <c r="K429" s="3"/>
      <c r="L429" s="3"/>
      <c r="M429" s="3"/>
    </row>
    <row r="430" ht="15.75" customHeight="1">
      <c r="A430" s="386"/>
      <c r="B430" s="26" t="str">
        <f>IFERROR(VLOOKUP(A430,PRODUCTOS!$A$6:$B$35,2,FALSE),"")</f>
      </c>
      <c r="C430" s="386"/>
      <c r="D430" s="386"/>
      <c r="E430" s="386"/>
      <c r="F430" s="33" t="n">
        <f>IFERROR(VLOOKUP(C430,'MATERIAS PRIMAS'!$B$5:$F$104,5,FALSE),0)</f>
        <v>0</v>
      </c>
      <c r="G430" s="33">
        <f t="shared" si="1"/>
        <v>0</v>
      </c>
      <c r="H430" s="36" t="n">
        <f>IFERROR(D430/VLOOKUP(A430,PRODUCTOS!$A$6:$D$35,4,FALSE),0)</f>
        <v>0</v>
      </c>
      <c r="I430" s="386"/>
      <c r="J430" s="3"/>
      <c r="K430" s="3"/>
      <c r="L430" s="3"/>
      <c r="M430" s="3"/>
    </row>
    <row r="431" ht="15.75" customHeight="1">
      <c r="A431" s="386"/>
      <c r="B431" s="26" t="str">
        <f>IFERROR(VLOOKUP(A431,PRODUCTOS!$A$6:$B$35,2,FALSE),"")</f>
      </c>
      <c r="C431" s="386"/>
      <c r="D431" s="386"/>
      <c r="E431" s="386"/>
      <c r="F431" s="33" t="n">
        <f>IFERROR(VLOOKUP(C431,'MATERIAS PRIMAS'!$B$5:$F$104,5,FALSE),0)</f>
        <v>0</v>
      </c>
      <c r="G431" s="33">
        <f t="shared" si="1"/>
        <v>0</v>
      </c>
      <c r="H431" s="36" t="n">
        <f>IFERROR(D431/VLOOKUP(A431,PRODUCTOS!$A$6:$D$35,4,FALSE),0)</f>
        <v>0</v>
      </c>
      <c r="I431" s="386"/>
      <c r="J431" s="3"/>
      <c r="K431" s="3"/>
      <c r="L431" s="3"/>
      <c r="M431" s="3"/>
    </row>
    <row r="432" ht="15.75" customHeight="1">
      <c r="A432" s="386"/>
      <c r="B432" s="26" t="str">
        <f>IFERROR(VLOOKUP(A432,PRODUCTOS!$A$6:$B$35,2,FALSE),"")</f>
      </c>
      <c r="C432" s="386"/>
      <c r="D432" s="386"/>
      <c r="E432" s="386"/>
      <c r="F432" s="33" t="n">
        <f>IFERROR(VLOOKUP(C432,'MATERIAS PRIMAS'!$B$5:$F$104,5,FALSE),0)</f>
        <v>0</v>
      </c>
      <c r="G432" s="33">
        <f t="shared" si="1"/>
        <v>0</v>
      </c>
      <c r="H432" s="36" t="n">
        <f>IFERROR(D432/VLOOKUP(A432,PRODUCTOS!$A$6:$D$35,4,FALSE),0)</f>
        <v>0</v>
      </c>
      <c r="I432" s="386"/>
      <c r="J432" s="3"/>
      <c r="K432" s="3"/>
      <c r="L432" s="3"/>
      <c r="M432" s="3"/>
    </row>
    <row r="433" ht="15.75" customHeight="1">
      <c r="A433" s="386"/>
      <c r="B433" s="26" t="str">
        <f>IFERROR(VLOOKUP(A433,PRODUCTOS!$A$6:$B$35,2,FALSE),"")</f>
      </c>
      <c r="C433" s="386"/>
      <c r="D433" s="386"/>
      <c r="E433" s="386"/>
      <c r="F433" s="33" t="n">
        <f>IFERROR(VLOOKUP(C433,'MATERIAS PRIMAS'!$B$5:$F$104,5,FALSE),0)</f>
        <v>0</v>
      </c>
      <c r="G433" s="33">
        <f t="shared" si="1"/>
        <v>0</v>
      </c>
      <c r="H433" s="36" t="n">
        <f>IFERROR(D433/VLOOKUP(A433,PRODUCTOS!$A$6:$D$35,4,FALSE),0)</f>
        <v>0</v>
      </c>
      <c r="I433" s="386"/>
      <c r="J433" s="3"/>
      <c r="K433" s="3"/>
      <c r="L433" s="3"/>
      <c r="M433" s="3"/>
    </row>
    <row r="434" ht="15.75" customHeight="1">
      <c r="A434" s="386"/>
      <c r="B434" s="26" t="str">
        <f>IFERROR(VLOOKUP(A434,PRODUCTOS!$A$6:$B$35,2,FALSE),"")</f>
      </c>
      <c r="C434" s="386"/>
      <c r="D434" s="386"/>
      <c r="E434" s="386"/>
      <c r="F434" s="33" t="n">
        <f>IFERROR(VLOOKUP(C434,'MATERIAS PRIMAS'!$B$5:$F$104,5,FALSE),0)</f>
        <v>0</v>
      </c>
      <c r="G434" s="33">
        <f t="shared" si="1"/>
        <v>0</v>
      </c>
      <c r="H434" s="36" t="n">
        <f>IFERROR(D434/VLOOKUP(A434,PRODUCTOS!$A$6:$D$35,4,FALSE),0)</f>
        <v>0</v>
      </c>
      <c r="I434" s="386"/>
      <c r="J434" s="3"/>
      <c r="K434" s="3"/>
      <c r="L434" s="3"/>
      <c r="M434" s="3"/>
    </row>
    <row r="435" ht="15.75" customHeight="1">
      <c r="A435" s="386"/>
      <c r="B435" s="26" t="str">
        <f>IFERROR(VLOOKUP(A435,PRODUCTOS!$A$6:$B$35,2,FALSE),"")</f>
      </c>
      <c r="C435" s="386"/>
      <c r="D435" s="386"/>
      <c r="E435" s="386"/>
      <c r="F435" s="33" t="n">
        <f>IFERROR(VLOOKUP(C435,'MATERIAS PRIMAS'!$B$5:$F$104,5,FALSE),0)</f>
        <v>0</v>
      </c>
      <c r="G435" s="33">
        <f t="shared" si="1"/>
        <v>0</v>
      </c>
      <c r="H435" s="36" t="n">
        <f>IFERROR(D435/VLOOKUP(A435,PRODUCTOS!$A$6:$D$35,4,FALSE),0)</f>
        <v>0</v>
      </c>
      <c r="I435" s="386"/>
      <c r="J435" s="3"/>
      <c r="K435" s="3"/>
      <c r="L435" s="3"/>
      <c r="M435" s="3"/>
    </row>
    <row r="436" ht="15.75" customHeight="1">
      <c r="A436" s="386"/>
      <c r="B436" s="26" t="str">
        <f>IFERROR(VLOOKUP(A436,PRODUCTOS!$A$6:$B$35,2,FALSE),"")</f>
      </c>
      <c r="C436" s="386"/>
      <c r="D436" s="386"/>
      <c r="E436" s="386"/>
      <c r="F436" s="33" t="n">
        <f>IFERROR(VLOOKUP(C436,'MATERIAS PRIMAS'!$B$5:$F$104,5,FALSE),0)</f>
        <v>0</v>
      </c>
      <c r="G436" s="33">
        <f t="shared" si="1"/>
        <v>0</v>
      </c>
      <c r="H436" s="36" t="n">
        <f>IFERROR(D436/VLOOKUP(A436,PRODUCTOS!$A$6:$D$35,4,FALSE),0)</f>
        <v>0</v>
      </c>
      <c r="I436" s="386"/>
      <c r="J436" s="3"/>
      <c r="K436" s="3"/>
      <c r="L436" s="3"/>
      <c r="M436" s="3"/>
    </row>
    <row r="437" ht="15.75" customHeight="1">
      <c r="A437" s="386"/>
      <c r="B437" s="26" t="str">
        <f>IFERROR(VLOOKUP(A437,PRODUCTOS!$A$6:$B$35,2,FALSE),"")</f>
      </c>
      <c r="C437" s="386"/>
      <c r="D437" s="386"/>
      <c r="E437" s="386"/>
      <c r="F437" s="33" t="n">
        <f>IFERROR(VLOOKUP(C437,'MATERIAS PRIMAS'!$B$5:$F$104,5,FALSE),0)</f>
        <v>0</v>
      </c>
      <c r="G437" s="33">
        <f t="shared" si="1"/>
        <v>0</v>
      </c>
      <c r="H437" s="36" t="n">
        <f>IFERROR(D437/VLOOKUP(A437,PRODUCTOS!$A$6:$D$35,4,FALSE),0)</f>
        <v>0</v>
      </c>
      <c r="I437" s="386"/>
      <c r="J437" s="3"/>
      <c r="K437" s="3"/>
      <c r="L437" s="3"/>
      <c r="M437" s="3"/>
    </row>
    <row r="438" ht="15.75" customHeight="1">
      <c r="A438" s="386"/>
      <c r="B438" s="26" t="str">
        <f>IFERROR(VLOOKUP(A438,PRODUCTOS!$A$6:$B$35,2,FALSE),"")</f>
      </c>
      <c r="C438" s="386"/>
      <c r="D438" s="386"/>
      <c r="E438" s="386"/>
      <c r="F438" s="33" t="n">
        <f>IFERROR(VLOOKUP(C438,'MATERIAS PRIMAS'!$B$5:$F$104,5,FALSE),0)</f>
        <v>0</v>
      </c>
      <c r="G438" s="33">
        <f t="shared" si="1"/>
        <v>0</v>
      </c>
      <c r="H438" s="36" t="n">
        <f>IFERROR(D438/VLOOKUP(A438,PRODUCTOS!$A$6:$D$35,4,FALSE),0)</f>
        <v>0</v>
      </c>
      <c r="I438" s="386"/>
      <c r="J438" s="3"/>
      <c r="K438" s="3"/>
      <c r="L438" s="3"/>
      <c r="M438" s="3"/>
    </row>
    <row r="439" ht="15.75" customHeight="1">
      <c r="A439" s="386"/>
      <c r="B439" s="26" t="str">
        <f>IFERROR(VLOOKUP(A439,PRODUCTOS!$A$6:$B$35,2,FALSE),"")</f>
      </c>
      <c r="C439" s="386"/>
      <c r="D439" s="386"/>
      <c r="E439" s="386"/>
      <c r="F439" s="33" t="n">
        <f>IFERROR(VLOOKUP(C439,'MATERIAS PRIMAS'!$B$5:$F$104,5,FALSE),0)</f>
        <v>0</v>
      </c>
      <c r="G439" s="33">
        <f t="shared" si="1"/>
        <v>0</v>
      </c>
      <c r="H439" s="36" t="n">
        <f>IFERROR(D439/VLOOKUP(A439,PRODUCTOS!$A$6:$D$35,4,FALSE),0)</f>
        <v>0</v>
      </c>
      <c r="I439" s="386"/>
      <c r="J439" s="3"/>
      <c r="K439" s="3"/>
      <c r="L439" s="3"/>
      <c r="M439" s="3"/>
    </row>
    <row r="440" ht="15.75" customHeight="1">
      <c r="A440" s="386"/>
      <c r="B440" s="26" t="str">
        <f>IFERROR(VLOOKUP(A440,PRODUCTOS!$A$6:$B$35,2,FALSE),"")</f>
      </c>
      <c r="C440" s="386"/>
      <c r="D440" s="386"/>
      <c r="E440" s="386"/>
      <c r="F440" s="33" t="n">
        <f>IFERROR(VLOOKUP(C440,'MATERIAS PRIMAS'!$B$5:$F$104,5,FALSE),0)</f>
        <v>0</v>
      </c>
      <c r="G440" s="33">
        <f t="shared" si="1"/>
        <v>0</v>
      </c>
      <c r="H440" s="36" t="n">
        <f>IFERROR(D440/VLOOKUP(A440,PRODUCTOS!$A$6:$D$35,4,FALSE),0)</f>
        <v>0</v>
      </c>
      <c r="I440" s="386"/>
      <c r="J440" s="3"/>
      <c r="K440" s="3"/>
      <c r="L440" s="3"/>
      <c r="M440" s="3"/>
    </row>
    <row r="441" ht="15.75" customHeight="1">
      <c r="A441" s="386"/>
      <c r="B441" s="26" t="str">
        <f>IFERROR(VLOOKUP(A441,PRODUCTOS!$A$6:$B$35,2,FALSE),"")</f>
      </c>
      <c r="C441" s="386"/>
      <c r="D441" s="386"/>
      <c r="E441" s="386"/>
      <c r="F441" s="33" t="n">
        <f>IFERROR(VLOOKUP(C441,'MATERIAS PRIMAS'!$B$5:$F$104,5,FALSE),0)</f>
        <v>0</v>
      </c>
      <c r="G441" s="33">
        <f t="shared" si="1"/>
        <v>0</v>
      </c>
      <c r="H441" s="36" t="n">
        <f>IFERROR(D441/VLOOKUP(A441,PRODUCTOS!$A$6:$D$35,4,FALSE),0)</f>
        <v>0</v>
      </c>
      <c r="I441" s="386"/>
      <c r="J441" s="3"/>
      <c r="K441" s="3"/>
      <c r="L441" s="3"/>
      <c r="M441" s="3"/>
    </row>
    <row r="442" ht="15.75" customHeight="1">
      <c r="A442" s="386"/>
      <c r="B442" s="26" t="str">
        <f>IFERROR(VLOOKUP(A442,PRODUCTOS!$A$6:$B$35,2,FALSE),"")</f>
      </c>
      <c r="C442" s="386"/>
      <c r="D442" s="386"/>
      <c r="E442" s="386"/>
      <c r="F442" s="33" t="n">
        <f>IFERROR(VLOOKUP(C442,'MATERIAS PRIMAS'!$B$5:$F$104,5,FALSE),0)</f>
        <v>0</v>
      </c>
      <c r="G442" s="33">
        <f t="shared" si="1"/>
        <v>0</v>
      </c>
      <c r="H442" s="36" t="n">
        <f>IFERROR(D442/VLOOKUP(A442,PRODUCTOS!$A$6:$D$35,4,FALSE),0)</f>
        <v>0</v>
      </c>
      <c r="I442" s="386"/>
      <c r="J442" s="3"/>
      <c r="K442" s="3"/>
      <c r="L442" s="3"/>
      <c r="M442" s="3"/>
    </row>
    <row r="443" ht="15.75" customHeight="1">
      <c r="A443" s="386"/>
      <c r="B443" s="26" t="str">
        <f>IFERROR(VLOOKUP(A443,PRODUCTOS!$A$6:$B$35,2,FALSE),"")</f>
      </c>
      <c r="C443" s="386"/>
      <c r="D443" s="386"/>
      <c r="E443" s="386"/>
      <c r="F443" s="33" t="n">
        <f>IFERROR(VLOOKUP(C443,'MATERIAS PRIMAS'!$B$5:$F$104,5,FALSE),0)</f>
        <v>0</v>
      </c>
      <c r="G443" s="33">
        <f t="shared" si="1"/>
        <v>0</v>
      </c>
      <c r="H443" s="36" t="n">
        <f>IFERROR(D443/VLOOKUP(A443,PRODUCTOS!$A$6:$D$35,4,FALSE),0)</f>
        <v>0</v>
      </c>
      <c r="I443" s="386"/>
      <c r="J443" s="3"/>
      <c r="K443" s="3"/>
      <c r="L443" s="3"/>
      <c r="M443" s="3"/>
    </row>
    <row r="444" ht="15.75" customHeight="1">
      <c r="A444" s="386"/>
      <c r="B444" s="26" t="str">
        <f>IFERROR(VLOOKUP(A444,PRODUCTOS!$A$6:$B$35,2,FALSE),"")</f>
      </c>
      <c r="C444" s="386"/>
      <c r="D444" s="386"/>
      <c r="E444" s="386"/>
      <c r="F444" s="33" t="n">
        <f>IFERROR(VLOOKUP(C444,'MATERIAS PRIMAS'!$B$5:$F$104,5,FALSE),0)</f>
        <v>0</v>
      </c>
      <c r="G444" s="33">
        <f t="shared" si="1"/>
        <v>0</v>
      </c>
      <c r="H444" s="36" t="n">
        <f>IFERROR(D444/VLOOKUP(A444,PRODUCTOS!$A$6:$D$35,4,FALSE),0)</f>
        <v>0</v>
      </c>
      <c r="I444" s="386"/>
      <c r="J444" s="3"/>
      <c r="K444" s="3"/>
      <c r="L444" s="3"/>
      <c r="M444" s="3"/>
    </row>
    <row r="445" ht="15.75" customHeight="1">
      <c r="A445" s="386"/>
      <c r="B445" s="26" t="str">
        <f>IFERROR(VLOOKUP(A445,PRODUCTOS!$A$6:$B$35,2,FALSE),"")</f>
      </c>
      <c r="C445" s="386"/>
      <c r="D445" s="386"/>
      <c r="E445" s="386"/>
      <c r="F445" s="33" t="n">
        <f>IFERROR(VLOOKUP(C445,'MATERIAS PRIMAS'!$B$5:$F$104,5,FALSE),0)</f>
        <v>0</v>
      </c>
      <c r="G445" s="33">
        <f t="shared" si="1"/>
        <v>0</v>
      </c>
      <c r="H445" s="36" t="n">
        <f>IFERROR(D445/VLOOKUP(A445,PRODUCTOS!$A$6:$D$35,4,FALSE),0)</f>
        <v>0</v>
      </c>
      <c r="I445" s="386"/>
      <c r="J445" s="3"/>
      <c r="K445" s="3"/>
      <c r="L445" s="3"/>
      <c r="M445" s="3"/>
    </row>
    <row r="446" ht="15.75" customHeight="1">
      <c r="A446" s="386"/>
      <c r="B446" s="26" t="str">
        <f>IFERROR(VLOOKUP(A446,PRODUCTOS!$A$6:$B$35,2,FALSE),"")</f>
      </c>
      <c r="C446" s="386"/>
      <c r="D446" s="386"/>
      <c r="E446" s="386"/>
      <c r="F446" s="33" t="n">
        <f>IFERROR(VLOOKUP(C446,'MATERIAS PRIMAS'!$B$5:$F$104,5,FALSE),0)</f>
        <v>0</v>
      </c>
      <c r="G446" s="33">
        <f t="shared" si="1"/>
        <v>0</v>
      </c>
      <c r="H446" s="36" t="n">
        <f>IFERROR(D446/VLOOKUP(A446,PRODUCTOS!$A$6:$D$35,4,FALSE),0)</f>
        <v>0</v>
      </c>
      <c r="I446" s="386"/>
      <c r="J446" s="3"/>
      <c r="K446" s="3"/>
      <c r="L446" s="3"/>
      <c r="M446" s="3"/>
    </row>
    <row r="447" ht="15.75" customHeight="1">
      <c r="A447" s="386"/>
      <c r="B447" s="26" t="str">
        <f>IFERROR(VLOOKUP(A447,PRODUCTOS!$A$6:$B$35,2,FALSE),"")</f>
      </c>
      <c r="C447" s="386"/>
      <c r="D447" s="386"/>
      <c r="E447" s="386"/>
      <c r="F447" s="33" t="n">
        <f>IFERROR(VLOOKUP(C447,'MATERIAS PRIMAS'!$B$5:$F$104,5,FALSE),0)</f>
        <v>0</v>
      </c>
      <c r="G447" s="33">
        <f t="shared" si="1"/>
        <v>0</v>
      </c>
      <c r="H447" s="36" t="n">
        <f>IFERROR(D447/VLOOKUP(A447,PRODUCTOS!$A$6:$D$35,4,FALSE),0)</f>
        <v>0</v>
      </c>
      <c r="I447" s="386"/>
      <c r="J447" s="3"/>
      <c r="K447" s="3"/>
      <c r="L447" s="3"/>
      <c r="M447" s="3"/>
    </row>
    <row r="448" ht="15.75" customHeight="1">
      <c r="A448" s="386"/>
      <c r="B448" s="26" t="str">
        <f>IFERROR(VLOOKUP(A448,PRODUCTOS!$A$6:$B$35,2,FALSE),"")</f>
      </c>
      <c r="C448" s="386"/>
      <c r="D448" s="386"/>
      <c r="E448" s="386"/>
      <c r="F448" s="33" t="n">
        <f>IFERROR(VLOOKUP(C448,'MATERIAS PRIMAS'!$B$5:$F$104,5,FALSE),0)</f>
        <v>0</v>
      </c>
      <c r="G448" s="33">
        <f t="shared" si="1"/>
        <v>0</v>
      </c>
      <c r="H448" s="36" t="n">
        <f>IFERROR(D448/VLOOKUP(A448,PRODUCTOS!$A$6:$D$35,4,FALSE),0)</f>
        <v>0</v>
      </c>
      <c r="I448" s="386"/>
      <c r="J448" s="3"/>
      <c r="K448" s="3"/>
      <c r="L448" s="3"/>
      <c r="M448" s="3"/>
    </row>
    <row r="449" ht="15.75" customHeight="1">
      <c r="A449" s="386"/>
      <c r="B449" s="26" t="str">
        <f>IFERROR(VLOOKUP(A449,PRODUCTOS!$A$6:$B$35,2,FALSE),"")</f>
      </c>
      <c r="C449" s="386"/>
      <c r="D449" s="386"/>
      <c r="E449" s="386"/>
      <c r="F449" s="33" t="n">
        <f>IFERROR(VLOOKUP(C449,'MATERIAS PRIMAS'!$B$5:$F$104,5,FALSE),0)</f>
        <v>0</v>
      </c>
      <c r="G449" s="33">
        <f t="shared" si="1"/>
        <v>0</v>
      </c>
      <c r="H449" s="36" t="n">
        <f>IFERROR(D449/VLOOKUP(A449,PRODUCTOS!$A$6:$D$35,4,FALSE),0)</f>
        <v>0</v>
      </c>
      <c r="I449" s="386"/>
      <c r="J449" s="3"/>
      <c r="K449" s="3"/>
      <c r="L449" s="3"/>
      <c r="M449" s="3"/>
    </row>
    <row r="450" ht="15.75" customHeight="1">
      <c r="A450" s="386"/>
      <c r="B450" s="26" t="str">
        <f>IFERROR(VLOOKUP(A450,PRODUCTOS!$A$6:$B$35,2,FALSE),"")</f>
      </c>
      <c r="C450" s="386"/>
      <c r="D450" s="386"/>
      <c r="E450" s="386"/>
      <c r="F450" s="33" t="n">
        <f>IFERROR(VLOOKUP(C450,'MATERIAS PRIMAS'!$B$5:$F$104,5,FALSE),0)</f>
        <v>0</v>
      </c>
      <c r="G450" s="33">
        <f t="shared" si="1"/>
        <v>0</v>
      </c>
      <c r="H450" s="36" t="n">
        <f>IFERROR(D450/VLOOKUP(A450,PRODUCTOS!$A$6:$D$35,4,FALSE),0)</f>
        <v>0</v>
      </c>
      <c r="I450" s="386"/>
      <c r="J450" s="3"/>
      <c r="K450" s="3"/>
      <c r="L450" s="3"/>
      <c r="M450" s="3"/>
    </row>
    <row r="451" ht="15.75" customHeight="1">
      <c r="A451" s="386"/>
      <c r="B451" s="26" t="str">
        <f>IFERROR(VLOOKUP(A451,PRODUCTOS!$A$6:$B$35,2,FALSE),"")</f>
      </c>
      <c r="C451" s="386"/>
      <c r="D451" s="386"/>
      <c r="E451" s="386"/>
      <c r="F451" s="33" t="n">
        <f>IFERROR(VLOOKUP(C451,'MATERIAS PRIMAS'!$B$5:$F$104,5,FALSE),0)</f>
        <v>0</v>
      </c>
      <c r="G451" s="33">
        <f t="shared" si="1"/>
        <v>0</v>
      </c>
      <c r="H451" s="36" t="n">
        <f>IFERROR(D451/VLOOKUP(A451,PRODUCTOS!$A$6:$D$35,4,FALSE),0)</f>
        <v>0</v>
      </c>
      <c r="I451" s="386"/>
      <c r="J451" s="3"/>
      <c r="K451" s="3"/>
      <c r="L451" s="3"/>
      <c r="M451" s="3"/>
    </row>
    <row r="452" ht="15.75" customHeight="1">
      <c r="A452" s="386"/>
      <c r="B452" s="26" t="str">
        <f>IFERROR(VLOOKUP(A452,PRODUCTOS!$A$6:$B$35,2,FALSE),"")</f>
      </c>
      <c r="C452" s="386"/>
      <c r="D452" s="386"/>
      <c r="E452" s="386"/>
      <c r="F452" s="33" t="n">
        <f>IFERROR(VLOOKUP(C452,'MATERIAS PRIMAS'!$B$5:$F$104,5,FALSE),0)</f>
        <v>0</v>
      </c>
      <c r="G452" s="33">
        <f t="shared" si="1"/>
        <v>0</v>
      </c>
      <c r="H452" s="36" t="n">
        <f>IFERROR(D452/VLOOKUP(A452,PRODUCTOS!$A$6:$D$35,4,FALSE),0)</f>
        <v>0</v>
      </c>
      <c r="I452" s="386"/>
      <c r="J452" s="3"/>
      <c r="K452" s="3"/>
      <c r="L452" s="3"/>
      <c r="M452" s="3"/>
    </row>
    <row r="453" ht="15.75" customHeight="1">
      <c r="A453" s="386"/>
      <c r="B453" s="26" t="str">
        <f>IFERROR(VLOOKUP(A453,PRODUCTOS!$A$6:$B$35,2,FALSE),"")</f>
      </c>
      <c r="C453" s="386"/>
      <c r="D453" s="386"/>
      <c r="E453" s="386"/>
      <c r="F453" s="33" t="n">
        <f>IFERROR(VLOOKUP(C453,'MATERIAS PRIMAS'!$B$5:$F$104,5,FALSE),0)</f>
        <v>0</v>
      </c>
      <c r="G453" s="33">
        <f t="shared" si="1"/>
        <v>0</v>
      </c>
      <c r="H453" s="36" t="n">
        <f>IFERROR(D453/VLOOKUP(A453,PRODUCTOS!$A$6:$D$35,4,FALSE),0)</f>
        <v>0</v>
      </c>
      <c r="I453" s="386"/>
      <c r="J453" s="3"/>
      <c r="K453" s="3"/>
      <c r="L453" s="3"/>
      <c r="M453" s="3"/>
    </row>
    <row r="454" ht="15.75" customHeight="1">
      <c r="A454" s="386"/>
      <c r="B454" s="26" t="str">
        <f>IFERROR(VLOOKUP(A454,PRODUCTOS!$A$6:$B$35,2,FALSE),"")</f>
      </c>
      <c r="C454" s="386"/>
      <c r="D454" s="386"/>
      <c r="E454" s="386"/>
      <c r="F454" s="33" t="n">
        <f>IFERROR(VLOOKUP(C454,'MATERIAS PRIMAS'!$B$5:$F$104,5,FALSE),0)</f>
        <v>0</v>
      </c>
      <c r="G454" s="33">
        <f t="shared" si="1"/>
        <v>0</v>
      </c>
      <c r="H454" s="36" t="n">
        <f>IFERROR(D454/VLOOKUP(A454,PRODUCTOS!$A$6:$D$35,4,FALSE),0)</f>
        <v>0</v>
      </c>
      <c r="I454" s="386"/>
      <c r="J454" s="3"/>
      <c r="K454" s="3"/>
      <c r="L454" s="3"/>
      <c r="M454" s="3"/>
    </row>
    <row r="455" ht="15.75" customHeight="1">
      <c r="A455" s="386"/>
      <c r="B455" s="26" t="str">
        <f>IFERROR(VLOOKUP(A455,PRODUCTOS!$A$6:$B$35,2,FALSE),"")</f>
      </c>
      <c r="C455" s="386"/>
      <c r="D455" s="386"/>
      <c r="E455" s="386"/>
      <c r="F455" s="33" t="n">
        <f>IFERROR(VLOOKUP(C455,'MATERIAS PRIMAS'!$B$5:$F$104,5,FALSE),0)</f>
        <v>0</v>
      </c>
      <c r="G455" s="33">
        <f t="shared" si="1"/>
        <v>0</v>
      </c>
      <c r="H455" s="36" t="n">
        <f>IFERROR(D455/VLOOKUP(A455,PRODUCTOS!$A$6:$D$35,4,FALSE),0)</f>
        <v>0</v>
      </c>
      <c r="I455" s="386"/>
      <c r="J455" s="3"/>
      <c r="K455" s="3"/>
      <c r="L455" s="3"/>
      <c r="M455" s="3"/>
    </row>
    <row r="456" ht="15.75" customHeight="1">
      <c r="A456" s="386"/>
      <c r="B456" s="26" t="str">
        <f>IFERROR(VLOOKUP(A456,PRODUCTOS!$A$6:$B$35,2,FALSE),"")</f>
      </c>
      <c r="C456" s="386"/>
      <c r="D456" s="386"/>
      <c r="E456" s="386"/>
      <c r="F456" s="33" t="n">
        <f>IFERROR(VLOOKUP(C456,'MATERIAS PRIMAS'!$B$5:$F$104,5,FALSE),0)</f>
        <v>0</v>
      </c>
      <c r="G456" s="33">
        <f t="shared" si="1"/>
        <v>0</v>
      </c>
      <c r="H456" s="36" t="n">
        <f>IFERROR(D456/VLOOKUP(A456,PRODUCTOS!$A$6:$D$35,4,FALSE),0)</f>
        <v>0</v>
      </c>
      <c r="I456" s="386"/>
      <c r="J456" s="3"/>
      <c r="K456" s="3"/>
      <c r="L456" s="3"/>
      <c r="M456" s="3"/>
    </row>
    <row r="457" ht="15.75" customHeight="1">
      <c r="A457" s="386"/>
      <c r="B457" s="26" t="str">
        <f>IFERROR(VLOOKUP(A457,PRODUCTOS!$A$6:$B$35,2,FALSE),"")</f>
      </c>
      <c r="C457" s="386"/>
      <c r="D457" s="386"/>
      <c r="E457" s="386"/>
      <c r="F457" s="33" t="n">
        <f>IFERROR(VLOOKUP(C457,'MATERIAS PRIMAS'!$B$5:$F$104,5,FALSE),0)</f>
        <v>0</v>
      </c>
      <c r="G457" s="33">
        <f t="shared" si="1"/>
        <v>0</v>
      </c>
      <c r="H457" s="36" t="n">
        <f>IFERROR(D457/VLOOKUP(A457,PRODUCTOS!$A$6:$D$35,4,FALSE),0)</f>
        <v>0</v>
      </c>
      <c r="I457" s="386"/>
      <c r="J457" s="3"/>
      <c r="K457" s="3"/>
      <c r="L457" s="3"/>
      <c r="M457" s="3"/>
    </row>
    <row r="458" ht="15.75" customHeight="1">
      <c r="A458" s="386"/>
      <c r="B458" s="26" t="str">
        <f>IFERROR(VLOOKUP(A458,PRODUCTOS!$A$6:$B$35,2,FALSE),"")</f>
      </c>
      <c r="C458" s="386"/>
      <c r="D458" s="386"/>
      <c r="E458" s="386"/>
      <c r="F458" s="33" t="n">
        <f>IFERROR(VLOOKUP(C458,'MATERIAS PRIMAS'!$B$5:$F$104,5,FALSE),0)</f>
        <v>0</v>
      </c>
      <c r="G458" s="33">
        <f t="shared" si="1"/>
        <v>0</v>
      </c>
      <c r="H458" s="36" t="n">
        <f>IFERROR(D458/VLOOKUP(A458,PRODUCTOS!$A$6:$D$35,4,FALSE),0)</f>
        <v>0</v>
      </c>
      <c r="I458" s="386"/>
      <c r="J458" s="3"/>
      <c r="K458" s="3"/>
      <c r="L458" s="3"/>
      <c r="M458" s="3"/>
    </row>
    <row r="459" ht="15.75" customHeight="1">
      <c r="A459" s="386"/>
      <c r="B459" s="26" t="str">
        <f>IFERROR(VLOOKUP(A459,PRODUCTOS!$A$6:$B$35,2,FALSE),"")</f>
      </c>
      <c r="C459" s="386"/>
      <c r="D459" s="386"/>
      <c r="E459" s="386"/>
      <c r="F459" s="33" t="n">
        <f>IFERROR(VLOOKUP(C459,'MATERIAS PRIMAS'!$B$5:$F$104,5,FALSE),0)</f>
        <v>0</v>
      </c>
      <c r="G459" s="33">
        <f t="shared" si="1"/>
        <v>0</v>
      </c>
      <c r="H459" s="36" t="n">
        <f>IFERROR(D459/VLOOKUP(A459,PRODUCTOS!$A$6:$D$35,4,FALSE),0)</f>
        <v>0</v>
      </c>
      <c r="I459" s="386"/>
      <c r="J459" s="3"/>
      <c r="K459" s="3"/>
      <c r="L459" s="3"/>
      <c r="M459" s="3"/>
    </row>
    <row r="460" ht="15.75" customHeight="1">
      <c r="A460" s="386"/>
      <c r="B460" s="26" t="str">
        <f>IFERROR(VLOOKUP(A460,PRODUCTOS!$A$6:$B$35,2,FALSE),"")</f>
      </c>
      <c r="C460" s="386"/>
      <c r="D460" s="386"/>
      <c r="E460" s="386"/>
      <c r="F460" s="33" t="n">
        <f>IFERROR(VLOOKUP(C460,'MATERIAS PRIMAS'!$B$5:$F$104,5,FALSE),0)</f>
        <v>0</v>
      </c>
      <c r="G460" s="33">
        <f t="shared" si="1"/>
        <v>0</v>
      </c>
      <c r="H460" s="36" t="n">
        <f>IFERROR(D460/VLOOKUP(A460,PRODUCTOS!$A$6:$D$35,4,FALSE),0)</f>
        <v>0</v>
      </c>
      <c r="I460" s="386"/>
      <c r="J460" s="3"/>
      <c r="K460" s="3"/>
      <c r="L460" s="3"/>
      <c r="M460" s="3"/>
    </row>
    <row r="461" ht="15.75" customHeight="1">
      <c r="A461" s="386"/>
      <c r="B461" s="26" t="str">
        <f>IFERROR(VLOOKUP(A461,PRODUCTOS!$A$6:$B$35,2,FALSE),"")</f>
      </c>
      <c r="C461" s="386"/>
      <c r="D461" s="386"/>
      <c r="E461" s="386"/>
      <c r="F461" s="33" t="n">
        <f>IFERROR(VLOOKUP(C461,'MATERIAS PRIMAS'!$B$5:$F$104,5,FALSE),0)</f>
        <v>0</v>
      </c>
      <c r="G461" s="33">
        <f t="shared" si="1"/>
        <v>0</v>
      </c>
      <c r="H461" s="36" t="n">
        <f>IFERROR(D461/VLOOKUP(A461,PRODUCTOS!$A$6:$D$35,4,FALSE),0)</f>
        <v>0</v>
      </c>
      <c r="I461" s="386"/>
      <c r="J461" s="3"/>
      <c r="K461" s="3"/>
      <c r="L461" s="3"/>
      <c r="M461" s="3"/>
    </row>
    <row r="462" ht="15.75" customHeight="1">
      <c r="A462" s="386"/>
      <c r="B462" s="26" t="str">
        <f>IFERROR(VLOOKUP(A462,PRODUCTOS!$A$6:$B$35,2,FALSE),"")</f>
      </c>
      <c r="C462" s="386"/>
      <c r="D462" s="386"/>
      <c r="E462" s="386"/>
      <c r="F462" s="33" t="n">
        <f>IFERROR(VLOOKUP(C462,'MATERIAS PRIMAS'!$B$5:$F$104,5,FALSE),0)</f>
        <v>0</v>
      </c>
      <c r="G462" s="33">
        <f t="shared" si="1"/>
        <v>0</v>
      </c>
      <c r="H462" s="36" t="n">
        <f>IFERROR(D462/VLOOKUP(A462,PRODUCTOS!$A$6:$D$35,4,FALSE),0)</f>
        <v>0</v>
      </c>
      <c r="I462" s="386"/>
      <c r="J462" s="3"/>
      <c r="K462" s="3"/>
      <c r="L462" s="3"/>
      <c r="M462" s="3"/>
    </row>
    <row r="463" ht="15.75" customHeight="1">
      <c r="A463" s="386"/>
      <c r="B463" s="26" t="str">
        <f>IFERROR(VLOOKUP(A463,PRODUCTOS!$A$6:$B$35,2,FALSE),"")</f>
      </c>
      <c r="C463" s="386"/>
      <c r="D463" s="386"/>
      <c r="E463" s="386"/>
      <c r="F463" s="33" t="n">
        <f>IFERROR(VLOOKUP(C463,'MATERIAS PRIMAS'!$B$5:$F$104,5,FALSE),0)</f>
        <v>0</v>
      </c>
      <c r="G463" s="33">
        <f t="shared" si="1"/>
        <v>0</v>
      </c>
      <c r="H463" s="36" t="n">
        <f>IFERROR(D463/VLOOKUP(A463,PRODUCTOS!$A$6:$D$35,4,FALSE),0)</f>
        <v>0</v>
      </c>
      <c r="I463" s="386"/>
      <c r="J463" s="3"/>
      <c r="K463" s="3"/>
      <c r="L463" s="3"/>
      <c r="M463" s="3"/>
    </row>
    <row r="464" ht="15.75" customHeight="1">
      <c r="A464" s="386"/>
      <c r="B464" s="26" t="str">
        <f>IFERROR(VLOOKUP(A464,PRODUCTOS!$A$6:$B$35,2,FALSE),"")</f>
      </c>
      <c r="C464" s="386"/>
      <c r="D464" s="386"/>
      <c r="E464" s="386"/>
      <c r="F464" s="33" t="n">
        <f>IFERROR(VLOOKUP(C464,'MATERIAS PRIMAS'!$B$5:$F$104,5,FALSE),0)</f>
        <v>0</v>
      </c>
      <c r="G464" s="33">
        <f t="shared" si="1"/>
        <v>0</v>
      </c>
      <c r="H464" s="36" t="n">
        <f>IFERROR(D464/VLOOKUP(A464,PRODUCTOS!$A$6:$D$35,4,FALSE),0)</f>
        <v>0</v>
      </c>
      <c r="I464" s="386"/>
      <c r="J464" s="3"/>
      <c r="K464" s="3"/>
      <c r="L464" s="3"/>
      <c r="M464" s="3"/>
    </row>
    <row r="465" ht="15.75" customHeight="1">
      <c r="A465" s="386"/>
      <c r="B465" s="26" t="str">
        <f>IFERROR(VLOOKUP(A465,PRODUCTOS!$A$6:$B$35,2,FALSE),"")</f>
      </c>
      <c r="C465" s="386"/>
      <c r="D465" s="386"/>
      <c r="E465" s="386"/>
      <c r="F465" s="33" t="n">
        <f>IFERROR(VLOOKUP(C465,'MATERIAS PRIMAS'!$B$5:$F$104,5,FALSE),0)</f>
        <v>0</v>
      </c>
      <c r="G465" s="33">
        <f t="shared" si="1"/>
        <v>0</v>
      </c>
      <c r="H465" s="36" t="n">
        <f>IFERROR(D465/VLOOKUP(A465,PRODUCTOS!$A$6:$D$35,4,FALSE),0)</f>
        <v>0</v>
      </c>
      <c r="I465" s="386"/>
      <c r="J465" s="3"/>
      <c r="K465" s="3"/>
      <c r="L465" s="3"/>
      <c r="M465" s="3"/>
    </row>
    <row r="466" ht="15.75" customHeight="1">
      <c r="A466" s="386"/>
      <c r="B466" s="26" t="str">
        <f>IFERROR(VLOOKUP(A466,PRODUCTOS!$A$6:$B$35,2,FALSE),"")</f>
      </c>
      <c r="C466" s="386"/>
      <c r="D466" s="386"/>
      <c r="E466" s="386"/>
      <c r="F466" s="33" t="n">
        <f>IFERROR(VLOOKUP(C466,'MATERIAS PRIMAS'!$B$5:$F$104,5,FALSE),0)</f>
        <v>0</v>
      </c>
      <c r="G466" s="33">
        <f t="shared" si="1"/>
        <v>0</v>
      </c>
      <c r="H466" s="36" t="n">
        <f>IFERROR(D466/VLOOKUP(A466,PRODUCTOS!$A$6:$D$35,4,FALSE),0)</f>
        <v>0</v>
      </c>
      <c r="I466" s="386"/>
      <c r="J466" s="3"/>
      <c r="K466" s="3"/>
      <c r="L466" s="3"/>
      <c r="M466" s="3"/>
    </row>
    <row r="467" ht="15.75" customHeight="1">
      <c r="A467" s="386"/>
      <c r="B467" s="26" t="str">
        <f>IFERROR(VLOOKUP(A467,PRODUCTOS!$A$6:$B$35,2,FALSE),"")</f>
      </c>
      <c r="C467" s="386"/>
      <c r="D467" s="386"/>
      <c r="E467" s="386"/>
      <c r="F467" s="33" t="n">
        <f>IFERROR(VLOOKUP(C467,'MATERIAS PRIMAS'!$B$5:$F$104,5,FALSE),0)</f>
        <v>0</v>
      </c>
      <c r="G467" s="33">
        <f t="shared" si="1"/>
        <v>0</v>
      </c>
      <c r="H467" s="36" t="n">
        <f>IFERROR(D467/VLOOKUP(A467,PRODUCTOS!$A$6:$D$35,4,FALSE),0)</f>
        <v>0</v>
      </c>
      <c r="I467" s="386"/>
      <c r="J467" s="3"/>
      <c r="K467" s="3"/>
      <c r="L467" s="3"/>
      <c r="M467" s="3"/>
    </row>
    <row r="468" ht="15.75" customHeight="1">
      <c r="A468" s="386"/>
      <c r="B468" s="26" t="str">
        <f>IFERROR(VLOOKUP(A468,PRODUCTOS!$A$6:$B$35,2,FALSE),"")</f>
      </c>
      <c r="C468" s="386"/>
      <c r="D468" s="386"/>
      <c r="E468" s="386"/>
      <c r="F468" s="33" t="n">
        <f>IFERROR(VLOOKUP(C468,'MATERIAS PRIMAS'!$B$5:$F$104,5,FALSE),0)</f>
        <v>0</v>
      </c>
      <c r="G468" s="33">
        <f t="shared" si="1"/>
        <v>0</v>
      </c>
      <c r="H468" s="36" t="n">
        <f>IFERROR(D468/VLOOKUP(A468,PRODUCTOS!$A$6:$D$35,4,FALSE),0)</f>
        <v>0</v>
      </c>
      <c r="I468" s="386"/>
      <c r="J468" s="3"/>
      <c r="K468" s="3"/>
      <c r="L468" s="3"/>
      <c r="M468" s="3"/>
    </row>
    <row r="469" ht="15.75" customHeight="1">
      <c r="A469" s="386"/>
      <c r="B469" s="26" t="str">
        <f>IFERROR(VLOOKUP(A469,PRODUCTOS!$A$6:$B$35,2,FALSE),"")</f>
      </c>
      <c r="C469" s="386"/>
      <c r="D469" s="386"/>
      <c r="E469" s="386"/>
      <c r="F469" s="33" t="n">
        <f>IFERROR(VLOOKUP(C469,'MATERIAS PRIMAS'!$B$5:$F$104,5,FALSE),0)</f>
        <v>0</v>
      </c>
      <c r="G469" s="33">
        <f t="shared" si="1"/>
        <v>0</v>
      </c>
      <c r="H469" s="36" t="n">
        <f>IFERROR(D469/VLOOKUP(A469,PRODUCTOS!$A$6:$D$35,4,FALSE),0)</f>
        <v>0</v>
      </c>
      <c r="I469" s="386"/>
      <c r="J469" s="3"/>
      <c r="K469" s="3"/>
      <c r="L469" s="3"/>
      <c r="M469" s="3"/>
    </row>
    <row r="470" ht="15.75" customHeight="1">
      <c r="A470" s="386"/>
      <c r="B470" s="26" t="str">
        <f>IFERROR(VLOOKUP(A470,PRODUCTOS!$A$6:$B$35,2,FALSE),"")</f>
      </c>
      <c r="C470" s="386"/>
      <c r="D470" s="386"/>
      <c r="E470" s="386"/>
      <c r="F470" s="33" t="n">
        <f>IFERROR(VLOOKUP(C470,'MATERIAS PRIMAS'!$B$5:$F$104,5,FALSE),0)</f>
        <v>0</v>
      </c>
      <c r="G470" s="33">
        <f t="shared" si="1"/>
        <v>0</v>
      </c>
      <c r="H470" s="36" t="n">
        <f>IFERROR(D470/VLOOKUP(A470,PRODUCTOS!$A$6:$D$35,4,FALSE),0)</f>
        <v>0</v>
      </c>
      <c r="I470" s="386"/>
      <c r="J470" s="3"/>
      <c r="K470" s="3"/>
      <c r="L470" s="3"/>
      <c r="M470" s="3"/>
    </row>
    <row r="471" ht="15.75" customHeight="1">
      <c r="A471" s="386"/>
      <c r="B471" s="26" t="str">
        <f>IFERROR(VLOOKUP(A471,PRODUCTOS!$A$6:$B$35,2,FALSE),"")</f>
      </c>
      <c r="C471" s="386"/>
      <c r="D471" s="386"/>
      <c r="E471" s="386"/>
      <c r="F471" s="33" t="n">
        <f>IFERROR(VLOOKUP(C471,'MATERIAS PRIMAS'!$B$5:$F$104,5,FALSE),0)</f>
        <v>0</v>
      </c>
      <c r="G471" s="33">
        <f t="shared" si="1"/>
        <v>0</v>
      </c>
      <c r="H471" s="36" t="n">
        <f>IFERROR(D471/VLOOKUP(A471,PRODUCTOS!$A$6:$D$35,4,FALSE),0)</f>
        <v>0</v>
      </c>
      <c r="I471" s="386"/>
      <c r="J471" s="3"/>
      <c r="K471" s="3"/>
      <c r="L471" s="3"/>
      <c r="M471" s="3"/>
    </row>
    <row r="472" ht="15.75" customHeight="1">
      <c r="A472" s="386"/>
      <c r="B472" s="26" t="str">
        <f>IFERROR(VLOOKUP(A472,PRODUCTOS!$A$6:$B$35,2,FALSE),"")</f>
      </c>
      <c r="C472" s="386"/>
      <c r="D472" s="386"/>
      <c r="E472" s="386"/>
      <c r="F472" s="33" t="n">
        <f>IFERROR(VLOOKUP(C472,'MATERIAS PRIMAS'!$B$5:$F$104,5,FALSE),0)</f>
        <v>0</v>
      </c>
      <c r="G472" s="33">
        <f t="shared" si="1"/>
        <v>0</v>
      </c>
      <c r="H472" s="36" t="n">
        <f>IFERROR(D472/VLOOKUP(A472,PRODUCTOS!$A$6:$D$35,4,FALSE),0)</f>
        <v>0</v>
      </c>
      <c r="I472" s="386"/>
      <c r="J472" s="3"/>
      <c r="K472" s="3"/>
      <c r="L472" s="3"/>
      <c r="M472" s="3"/>
    </row>
    <row r="473" ht="15.75" customHeight="1">
      <c r="A473" s="386"/>
      <c r="B473" s="26" t="str">
        <f>IFERROR(VLOOKUP(A473,PRODUCTOS!$A$6:$B$35,2,FALSE),"")</f>
      </c>
      <c r="C473" s="386"/>
      <c r="D473" s="386"/>
      <c r="E473" s="386"/>
      <c r="F473" s="33" t="n">
        <f>IFERROR(VLOOKUP(C473,'MATERIAS PRIMAS'!$B$5:$F$104,5,FALSE),0)</f>
        <v>0</v>
      </c>
      <c r="G473" s="33">
        <f t="shared" si="1"/>
        <v>0</v>
      </c>
      <c r="H473" s="36" t="n">
        <f>IFERROR(D473/VLOOKUP(A473,PRODUCTOS!$A$6:$D$35,4,FALSE),0)</f>
        <v>0</v>
      </c>
      <c r="I473" s="386"/>
      <c r="J473" s="3"/>
      <c r="K473" s="3"/>
      <c r="L473" s="3"/>
      <c r="M473" s="3"/>
    </row>
    <row r="474" ht="15.75" customHeight="1">
      <c r="A474" s="386"/>
      <c r="B474" s="26" t="str">
        <f>IFERROR(VLOOKUP(A474,PRODUCTOS!$A$6:$B$35,2,FALSE),"")</f>
      </c>
      <c r="C474" s="386"/>
      <c r="D474" s="386"/>
      <c r="E474" s="386"/>
      <c r="F474" s="33" t="n">
        <f>IFERROR(VLOOKUP(C474,'MATERIAS PRIMAS'!$B$5:$F$104,5,FALSE),0)</f>
        <v>0</v>
      </c>
      <c r="G474" s="33">
        <f t="shared" si="1"/>
        <v>0</v>
      </c>
      <c r="H474" s="36" t="n">
        <f>IFERROR(D474/VLOOKUP(A474,PRODUCTOS!$A$6:$D$35,4,FALSE),0)</f>
        <v>0</v>
      </c>
      <c r="I474" s="386"/>
      <c r="J474" s="3"/>
      <c r="K474" s="3"/>
      <c r="L474" s="3"/>
      <c r="M474" s="3"/>
    </row>
    <row r="475" ht="15.75" customHeight="1">
      <c r="A475" s="386"/>
      <c r="B475" s="26" t="str">
        <f>IFERROR(VLOOKUP(A475,PRODUCTOS!$A$6:$B$35,2,FALSE),"")</f>
      </c>
      <c r="C475" s="386"/>
      <c r="D475" s="386"/>
      <c r="E475" s="386"/>
      <c r="F475" s="33" t="n">
        <f>IFERROR(VLOOKUP(C475,'MATERIAS PRIMAS'!$B$5:$F$104,5,FALSE),0)</f>
        <v>0</v>
      </c>
      <c r="G475" s="33">
        <f t="shared" si="1"/>
        <v>0</v>
      </c>
      <c r="H475" s="36" t="n">
        <f>IFERROR(D475/VLOOKUP(A475,PRODUCTOS!$A$6:$D$35,4,FALSE),0)</f>
        <v>0</v>
      </c>
      <c r="I475" s="386"/>
      <c r="J475" s="3"/>
      <c r="K475" s="3"/>
      <c r="L475" s="3"/>
      <c r="M475" s="3"/>
    </row>
    <row r="476" ht="15.75" customHeight="1">
      <c r="A476" s="386"/>
      <c r="B476" s="26" t="str">
        <f>IFERROR(VLOOKUP(A476,PRODUCTOS!$A$6:$B$35,2,FALSE),"")</f>
      </c>
      <c r="C476" s="386"/>
      <c r="D476" s="386"/>
      <c r="E476" s="386"/>
      <c r="F476" s="33" t="n">
        <f>IFERROR(VLOOKUP(C476,'MATERIAS PRIMAS'!$B$5:$F$104,5,FALSE),0)</f>
        <v>0</v>
      </c>
      <c r="G476" s="33">
        <f t="shared" si="1"/>
        <v>0</v>
      </c>
      <c r="H476" s="36" t="n">
        <f>IFERROR(D476/VLOOKUP(A476,PRODUCTOS!$A$6:$D$35,4,FALSE),0)</f>
        <v>0</v>
      </c>
      <c r="I476" s="386"/>
      <c r="J476" s="3"/>
      <c r="K476" s="3"/>
      <c r="L476" s="3"/>
      <c r="M476" s="3"/>
    </row>
    <row r="477" ht="15.75" customHeight="1">
      <c r="A477" s="386"/>
      <c r="B477" s="26" t="str">
        <f>IFERROR(VLOOKUP(A477,PRODUCTOS!$A$6:$B$35,2,FALSE),"")</f>
      </c>
      <c r="C477" s="386"/>
      <c r="D477" s="386"/>
      <c r="E477" s="386"/>
      <c r="F477" s="33" t="n">
        <f>IFERROR(VLOOKUP(C477,'MATERIAS PRIMAS'!$B$5:$F$104,5,FALSE),0)</f>
        <v>0</v>
      </c>
      <c r="G477" s="33">
        <f t="shared" si="1"/>
        <v>0</v>
      </c>
      <c r="H477" s="36" t="n">
        <f>IFERROR(D477/VLOOKUP(A477,PRODUCTOS!$A$6:$D$35,4,FALSE),0)</f>
        <v>0</v>
      </c>
      <c r="I477" s="386"/>
      <c r="J477" s="3"/>
      <c r="K477" s="3"/>
      <c r="L477" s="3"/>
      <c r="M477" s="3"/>
    </row>
    <row r="478" ht="15.75" customHeight="1">
      <c r="A478" s="386"/>
      <c r="B478" s="26" t="str">
        <f>IFERROR(VLOOKUP(A478,PRODUCTOS!$A$6:$B$35,2,FALSE),"")</f>
      </c>
      <c r="C478" s="386"/>
      <c r="D478" s="386"/>
      <c r="E478" s="386"/>
      <c r="F478" s="33" t="n">
        <f>IFERROR(VLOOKUP(C478,'MATERIAS PRIMAS'!$B$5:$F$104,5,FALSE),0)</f>
        <v>0</v>
      </c>
      <c r="G478" s="33">
        <f t="shared" si="1"/>
        <v>0</v>
      </c>
      <c r="H478" s="36" t="n">
        <f>IFERROR(D478/VLOOKUP(A478,PRODUCTOS!$A$6:$D$35,4,FALSE),0)</f>
        <v>0</v>
      </c>
      <c r="I478" s="386"/>
      <c r="J478" s="3"/>
      <c r="K478" s="3"/>
      <c r="L478" s="3"/>
      <c r="M478" s="3"/>
    </row>
    <row r="479" ht="15.75" customHeight="1">
      <c r="A479" s="386"/>
      <c r="B479" s="26" t="str">
        <f>IFERROR(VLOOKUP(A479,PRODUCTOS!$A$6:$B$35,2,FALSE),"")</f>
      </c>
      <c r="C479" s="386"/>
      <c r="D479" s="386"/>
      <c r="E479" s="386"/>
      <c r="F479" s="33" t="n">
        <f>IFERROR(VLOOKUP(C479,'MATERIAS PRIMAS'!$B$5:$F$104,5,FALSE),0)</f>
        <v>0</v>
      </c>
      <c r="G479" s="33">
        <f t="shared" si="1"/>
        <v>0</v>
      </c>
      <c r="H479" s="36" t="n">
        <f>IFERROR(D479/VLOOKUP(A479,PRODUCTOS!$A$6:$D$35,4,FALSE),0)</f>
        <v>0</v>
      </c>
      <c r="I479" s="386"/>
      <c r="J479" s="3"/>
      <c r="K479" s="3"/>
      <c r="L479" s="3"/>
      <c r="M479" s="3"/>
    </row>
    <row r="480" ht="15.75" customHeight="1">
      <c r="A480" s="386"/>
      <c r="B480" s="26" t="str">
        <f>IFERROR(VLOOKUP(A480,PRODUCTOS!$A$6:$B$35,2,FALSE),"")</f>
      </c>
      <c r="C480" s="386"/>
      <c r="D480" s="386"/>
      <c r="E480" s="386"/>
      <c r="F480" s="33" t="n">
        <f>IFERROR(VLOOKUP(C480,'MATERIAS PRIMAS'!$B$5:$F$104,5,FALSE),0)</f>
        <v>0</v>
      </c>
      <c r="G480" s="33">
        <f t="shared" si="1"/>
        <v>0</v>
      </c>
      <c r="H480" s="36" t="n">
        <f>IFERROR(D480/VLOOKUP(A480,PRODUCTOS!$A$6:$D$35,4,FALSE),0)</f>
        <v>0</v>
      </c>
      <c r="I480" s="386"/>
      <c r="J480" s="3"/>
      <c r="K480" s="3"/>
      <c r="L480" s="3"/>
      <c r="M480" s="3"/>
    </row>
    <row r="481" ht="15.75" customHeight="1">
      <c r="A481" s="386"/>
      <c r="B481" s="26" t="str">
        <f>IFERROR(VLOOKUP(A481,PRODUCTOS!$A$6:$B$35,2,FALSE),"")</f>
      </c>
      <c r="C481" s="386"/>
      <c r="D481" s="386"/>
      <c r="E481" s="386"/>
      <c r="F481" s="33" t="n">
        <f>IFERROR(VLOOKUP(C481,'MATERIAS PRIMAS'!$B$5:$F$104,5,FALSE),0)</f>
        <v>0</v>
      </c>
      <c r="G481" s="33">
        <f t="shared" si="1"/>
        <v>0</v>
      </c>
      <c r="H481" s="36" t="n">
        <f>IFERROR(D481/VLOOKUP(A481,PRODUCTOS!$A$6:$D$35,4,FALSE),0)</f>
        <v>0</v>
      </c>
      <c r="I481" s="386"/>
      <c r="J481" s="3"/>
      <c r="K481" s="3"/>
      <c r="L481" s="3"/>
      <c r="M481" s="3"/>
    </row>
    <row r="482" ht="15.75" customHeight="1">
      <c r="A482" s="386"/>
      <c r="B482" s="26" t="str">
        <f>IFERROR(VLOOKUP(A482,PRODUCTOS!$A$6:$B$35,2,FALSE),"")</f>
      </c>
      <c r="C482" s="386"/>
      <c r="D482" s="386"/>
      <c r="E482" s="386"/>
      <c r="F482" s="33" t="n">
        <f>IFERROR(VLOOKUP(C482,'MATERIAS PRIMAS'!$B$5:$F$104,5,FALSE),0)</f>
        <v>0</v>
      </c>
      <c r="G482" s="33">
        <f t="shared" si="1"/>
        <v>0</v>
      </c>
      <c r="H482" s="36" t="n">
        <f>IFERROR(D482/VLOOKUP(A482,PRODUCTOS!$A$6:$D$35,4,FALSE),0)</f>
        <v>0</v>
      </c>
      <c r="I482" s="386"/>
      <c r="J482" s="3"/>
      <c r="K482" s="3"/>
      <c r="L482" s="3"/>
      <c r="M482" s="3"/>
    </row>
    <row r="483" ht="15.75" customHeight="1">
      <c r="A483" s="386"/>
      <c r="B483" s="26" t="str">
        <f>IFERROR(VLOOKUP(A483,PRODUCTOS!$A$6:$B$35,2,FALSE),"")</f>
      </c>
      <c r="C483" s="386"/>
      <c r="D483" s="386"/>
      <c r="E483" s="386"/>
      <c r="F483" s="33" t="n">
        <f>IFERROR(VLOOKUP(C483,'MATERIAS PRIMAS'!$B$5:$F$104,5,FALSE),0)</f>
        <v>0</v>
      </c>
      <c r="G483" s="33">
        <f t="shared" si="1"/>
        <v>0</v>
      </c>
      <c r="H483" s="36" t="n">
        <f>IFERROR(D483/VLOOKUP(A483,PRODUCTOS!$A$6:$D$35,4,FALSE),0)</f>
        <v>0</v>
      </c>
      <c r="I483" s="386"/>
      <c r="J483" s="3"/>
      <c r="K483" s="3"/>
      <c r="L483" s="3"/>
      <c r="M483" s="3"/>
    </row>
    <row r="484" ht="15.75" customHeight="1">
      <c r="A484" s="386"/>
      <c r="B484" s="26" t="str">
        <f>IFERROR(VLOOKUP(A484,PRODUCTOS!$A$6:$B$35,2,FALSE),"")</f>
      </c>
      <c r="C484" s="386"/>
      <c r="D484" s="386"/>
      <c r="E484" s="386"/>
      <c r="F484" s="33" t="n">
        <f>IFERROR(VLOOKUP(C484,'MATERIAS PRIMAS'!$B$5:$F$104,5,FALSE),0)</f>
        <v>0</v>
      </c>
      <c r="G484" s="33">
        <f t="shared" si="1"/>
        <v>0</v>
      </c>
      <c r="H484" s="36" t="n">
        <f>IFERROR(D484/VLOOKUP(A484,PRODUCTOS!$A$6:$D$35,4,FALSE),0)</f>
        <v>0</v>
      </c>
      <c r="I484" s="386"/>
      <c r="J484" s="3"/>
      <c r="K484" s="3"/>
      <c r="L484" s="3"/>
      <c r="M484" s="3"/>
    </row>
    <row r="485" ht="15.75" customHeight="1">
      <c r="A485" s="386"/>
      <c r="B485" s="26" t="str">
        <f>IFERROR(VLOOKUP(A485,PRODUCTOS!$A$6:$B$35,2,FALSE),"")</f>
      </c>
      <c r="C485" s="386"/>
      <c r="D485" s="386"/>
      <c r="E485" s="386"/>
      <c r="F485" s="33" t="n">
        <f>IFERROR(VLOOKUP(C485,'MATERIAS PRIMAS'!$B$5:$F$104,5,FALSE),0)</f>
        <v>0</v>
      </c>
      <c r="G485" s="33">
        <f t="shared" si="1"/>
        <v>0</v>
      </c>
      <c r="H485" s="36" t="n">
        <f>IFERROR(D485/VLOOKUP(A485,PRODUCTOS!$A$6:$D$35,4,FALSE),0)</f>
        <v>0</v>
      </c>
      <c r="I485" s="386"/>
      <c r="J485" s="3"/>
      <c r="K485" s="3"/>
      <c r="L485" s="3"/>
      <c r="M485" s="3"/>
    </row>
    <row r="486" ht="15.75" customHeight="1">
      <c r="A486" s="386"/>
      <c r="B486" s="26" t="str">
        <f>IFERROR(VLOOKUP(A486,PRODUCTOS!$A$6:$B$35,2,FALSE),"")</f>
      </c>
      <c r="C486" s="386"/>
      <c r="D486" s="386"/>
      <c r="E486" s="386"/>
      <c r="F486" s="33" t="n">
        <f>IFERROR(VLOOKUP(C486,'MATERIAS PRIMAS'!$B$5:$F$104,5,FALSE),0)</f>
        <v>0</v>
      </c>
      <c r="G486" s="33">
        <f t="shared" si="1"/>
        <v>0</v>
      </c>
      <c r="H486" s="36" t="n">
        <f>IFERROR(D486/VLOOKUP(A486,PRODUCTOS!$A$6:$D$35,4,FALSE),0)</f>
        <v>0</v>
      </c>
      <c r="I486" s="386"/>
      <c r="J486" s="3"/>
      <c r="K486" s="3"/>
      <c r="L486" s="3"/>
      <c r="M486" s="3"/>
    </row>
    <row r="487" ht="15.75" customHeight="1">
      <c r="A487" s="386"/>
      <c r="B487" s="26" t="str">
        <f>IFERROR(VLOOKUP(A487,PRODUCTOS!$A$6:$B$35,2,FALSE),"")</f>
      </c>
      <c r="C487" s="386"/>
      <c r="D487" s="386"/>
      <c r="E487" s="386"/>
      <c r="F487" s="33" t="n">
        <f>IFERROR(VLOOKUP(C487,'MATERIAS PRIMAS'!$B$5:$F$104,5,FALSE),0)</f>
        <v>0</v>
      </c>
      <c r="G487" s="33">
        <f t="shared" si="1"/>
        <v>0</v>
      </c>
      <c r="H487" s="36" t="n">
        <f>IFERROR(D487/VLOOKUP(A487,PRODUCTOS!$A$6:$D$35,4,FALSE),0)</f>
        <v>0</v>
      </c>
      <c r="I487" s="386"/>
      <c r="J487" s="3"/>
      <c r="K487" s="3"/>
      <c r="L487" s="3"/>
      <c r="M487" s="3"/>
    </row>
    <row r="488" ht="15.75" customHeight="1">
      <c r="A488" s="386"/>
      <c r="B488" s="26" t="str">
        <f>IFERROR(VLOOKUP(A488,PRODUCTOS!$A$6:$B$35,2,FALSE),"")</f>
      </c>
      <c r="C488" s="386"/>
      <c r="D488" s="386"/>
      <c r="E488" s="386"/>
      <c r="F488" s="33" t="n">
        <f>IFERROR(VLOOKUP(C488,'MATERIAS PRIMAS'!$B$5:$F$104,5,FALSE),0)</f>
        <v>0</v>
      </c>
      <c r="G488" s="33">
        <f t="shared" si="1"/>
        <v>0</v>
      </c>
      <c r="H488" s="36" t="n">
        <f>IFERROR(D488/VLOOKUP(A488,PRODUCTOS!$A$6:$D$35,4,FALSE),0)</f>
        <v>0</v>
      </c>
      <c r="I488" s="386"/>
      <c r="J488" s="3"/>
      <c r="K488" s="3"/>
      <c r="L488" s="3"/>
      <c r="M488" s="3"/>
    </row>
    <row r="489" ht="15.75" customHeight="1">
      <c r="A489" s="386"/>
      <c r="B489" s="26" t="str">
        <f>IFERROR(VLOOKUP(A489,PRODUCTOS!$A$6:$B$35,2,FALSE),"")</f>
      </c>
      <c r="C489" s="386"/>
      <c r="D489" s="386"/>
      <c r="E489" s="386"/>
      <c r="F489" s="33" t="n">
        <f>IFERROR(VLOOKUP(C489,'MATERIAS PRIMAS'!$B$5:$F$104,5,FALSE),0)</f>
        <v>0</v>
      </c>
      <c r="G489" s="33">
        <f t="shared" si="1"/>
        <v>0</v>
      </c>
      <c r="H489" s="36" t="n">
        <f>IFERROR(D489/VLOOKUP(A489,PRODUCTOS!$A$6:$D$35,4,FALSE),0)</f>
        <v>0</v>
      </c>
      <c r="I489" s="386"/>
      <c r="J489" s="3"/>
      <c r="K489" s="3"/>
      <c r="L489" s="3"/>
      <c r="M489" s="3"/>
    </row>
    <row r="490" ht="15.75" customHeight="1">
      <c r="A490" s="386"/>
      <c r="B490" s="26" t="str">
        <f>IFERROR(VLOOKUP(A490,PRODUCTOS!$A$6:$B$35,2,FALSE),"")</f>
      </c>
      <c r="C490" s="386"/>
      <c r="D490" s="386"/>
      <c r="E490" s="386"/>
      <c r="F490" s="33" t="n">
        <f>IFERROR(VLOOKUP(C490,'MATERIAS PRIMAS'!$B$5:$F$104,5,FALSE),0)</f>
        <v>0</v>
      </c>
      <c r="G490" s="33">
        <f t="shared" si="1"/>
        <v>0</v>
      </c>
      <c r="H490" s="36" t="n">
        <f>IFERROR(D490/VLOOKUP(A490,PRODUCTOS!$A$6:$D$35,4,FALSE),0)</f>
        <v>0</v>
      </c>
      <c r="I490" s="386"/>
      <c r="J490" s="3"/>
      <c r="K490" s="3"/>
      <c r="L490" s="3"/>
      <c r="M490" s="3"/>
    </row>
    <row r="491" ht="15.75" customHeight="1">
      <c r="A491" s="386"/>
      <c r="B491" s="26" t="str">
        <f>IFERROR(VLOOKUP(A491,PRODUCTOS!$A$6:$B$35,2,FALSE),"")</f>
      </c>
      <c r="C491" s="386"/>
      <c r="D491" s="386"/>
      <c r="E491" s="386"/>
      <c r="F491" s="33" t="n">
        <f>IFERROR(VLOOKUP(C491,'MATERIAS PRIMAS'!$B$5:$F$104,5,FALSE),0)</f>
        <v>0</v>
      </c>
      <c r="G491" s="33">
        <f t="shared" si="1"/>
        <v>0</v>
      </c>
      <c r="H491" s="36" t="n">
        <f>IFERROR(D491/VLOOKUP(A491,PRODUCTOS!$A$6:$D$35,4,FALSE),0)</f>
        <v>0</v>
      </c>
      <c r="I491" s="386"/>
      <c r="J491" s="3"/>
      <c r="K491" s="3"/>
      <c r="L491" s="3"/>
      <c r="M491" s="3"/>
    </row>
    <row r="492" ht="15.75" customHeight="1">
      <c r="A492" s="386"/>
      <c r="B492" s="26" t="str">
        <f>IFERROR(VLOOKUP(A492,PRODUCTOS!$A$6:$B$35,2,FALSE),"")</f>
      </c>
      <c r="C492" s="386"/>
      <c r="D492" s="386"/>
      <c r="E492" s="386"/>
      <c r="F492" s="33" t="n">
        <f>IFERROR(VLOOKUP(C492,'MATERIAS PRIMAS'!$B$5:$F$104,5,FALSE),0)</f>
        <v>0</v>
      </c>
      <c r="G492" s="33">
        <f t="shared" si="1"/>
        <v>0</v>
      </c>
      <c r="H492" s="36" t="n">
        <f>IFERROR(D492/VLOOKUP(A492,PRODUCTOS!$A$6:$D$35,4,FALSE),0)</f>
        <v>0</v>
      </c>
      <c r="I492" s="386"/>
      <c r="J492" s="3"/>
      <c r="K492" s="3"/>
      <c r="L492" s="3"/>
      <c r="M492" s="3"/>
    </row>
    <row r="493" ht="15.75" customHeight="1">
      <c r="A493" s="386"/>
      <c r="B493" s="26" t="str">
        <f>IFERROR(VLOOKUP(A493,PRODUCTOS!$A$6:$B$35,2,FALSE),"")</f>
      </c>
      <c r="C493" s="386"/>
      <c r="D493" s="386"/>
      <c r="E493" s="386"/>
      <c r="F493" s="33" t="n">
        <f>IFERROR(VLOOKUP(C493,'MATERIAS PRIMAS'!$B$5:$F$104,5,FALSE),0)</f>
        <v>0</v>
      </c>
      <c r="G493" s="33">
        <f t="shared" si="1"/>
        <v>0</v>
      </c>
      <c r="H493" s="36" t="n">
        <f>IFERROR(D493/VLOOKUP(A493,PRODUCTOS!$A$6:$D$35,4,FALSE),0)</f>
        <v>0</v>
      </c>
      <c r="I493" s="386"/>
      <c r="J493" s="3"/>
      <c r="K493" s="3"/>
      <c r="L493" s="3"/>
      <c r="M493" s="3"/>
    </row>
    <row r="494" ht="15.75" customHeight="1">
      <c r="A494" s="386"/>
      <c r="B494" s="26" t="str">
        <f>IFERROR(VLOOKUP(A494,PRODUCTOS!$A$6:$B$35,2,FALSE),"")</f>
      </c>
      <c r="C494" s="386"/>
      <c r="D494" s="386"/>
      <c r="E494" s="386"/>
      <c r="F494" s="33" t="n">
        <f>IFERROR(VLOOKUP(C494,'MATERIAS PRIMAS'!$B$5:$F$104,5,FALSE),0)</f>
        <v>0</v>
      </c>
      <c r="G494" s="33">
        <f t="shared" si="1"/>
        <v>0</v>
      </c>
      <c r="H494" s="36" t="n">
        <f>IFERROR(D494/VLOOKUP(A494,PRODUCTOS!$A$6:$D$35,4,FALSE),0)</f>
        <v>0</v>
      </c>
      <c r="I494" s="386"/>
      <c r="J494" s="3"/>
      <c r="K494" s="3"/>
      <c r="L494" s="3"/>
      <c r="M494" s="3"/>
    </row>
    <row r="495" ht="15.75" customHeight="1">
      <c r="A495" s="386"/>
      <c r="B495" s="26" t="str">
        <f>IFERROR(VLOOKUP(A495,PRODUCTOS!$A$6:$B$35,2,FALSE),"")</f>
      </c>
      <c r="C495" s="386"/>
      <c r="D495" s="386"/>
      <c r="E495" s="386"/>
      <c r="F495" s="33" t="n">
        <f>IFERROR(VLOOKUP(C495,'MATERIAS PRIMAS'!$B$5:$F$104,5,FALSE),0)</f>
        <v>0</v>
      </c>
      <c r="G495" s="33">
        <f t="shared" si="1"/>
        <v>0</v>
      </c>
      <c r="H495" s="36" t="n">
        <f>IFERROR(D495/VLOOKUP(A495,PRODUCTOS!$A$6:$D$35,4,FALSE),0)</f>
        <v>0</v>
      </c>
      <c r="I495" s="386"/>
      <c r="J495" s="3"/>
      <c r="K495" s="3"/>
      <c r="L495" s="3"/>
      <c r="M495" s="3"/>
    </row>
    <row r="496" ht="15.75" customHeight="1">
      <c r="A496" s="386"/>
      <c r="B496" s="26" t="str">
        <f>IFERROR(VLOOKUP(A496,PRODUCTOS!$A$6:$B$35,2,FALSE),"")</f>
      </c>
      <c r="C496" s="386"/>
      <c r="D496" s="386"/>
      <c r="E496" s="386"/>
      <c r="F496" s="33" t="n">
        <f>IFERROR(VLOOKUP(C496,'MATERIAS PRIMAS'!$B$5:$F$104,5,FALSE),0)</f>
        <v>0</v>
      </c>
      <c r="G496" s="33">
        <f t="shared" si="1"/>
        <v>0</v>
      </c>
      <c r="H496" s="36" t="n">
        <f>IFERROR(D496/VLOOKUP(A496,PRODUCTOS!$A$6:$D$35,4,FALSE),0)</f>
        <v>0</v>
      </c>
      <c r="I496" s="386"/>
      <c r="J496" s="3"/>
      <c r="K496" s="3"/>
      <c r="L496" s="3"/>
      <c r="M496" s="3"/>
    </row>
    <row r="497" ht="15.75" customHeight="1">
      <c r="A497" s="386"/>
      <c r="B497" s="26" t="str">
        <f>IFERROR(VLOOKUP(A497,PRODUCTOS!$A$6:$B$35,2,FALSE),"")</f>
      </c>
      <c r="C497" s="386"/>
      <c r="D497" s="386"/>
      <c r="E497" s="386"/>
      <c r="F497" s="33" t="n">
        <f>IFERROR(VLOOKUP(C497,'MATERIAS PRIMAS'!$B$5:$F$104,5,FALSE),0)</f>
        <v>0</v>
      </c>
      <c r="G497" s="33">
        <f t="shared" si="1"/>
        <v>0</v>
      </c>
      <c r="H497" s="36" t="n">
        <f>IFERROR(D497/VLOOKUP(A497,PRODUCTOS!$A$6:$D$35,4,FALSE),0)</f>
        <v>0</v>
      </c>
      <c r="I497" s="386"/>
      <c r="J497" s="3"/>
      <c r="K497" s="3"/>
      <c r="L497" s="3"/>
      <c r="M497" s="3"/>
    </row>
    <row r="498" ht="15.75" customHeight="1">
      <c r="A498" s="386"/>
      <c r="B498" s="26" t="str">
        <f>IFERROR(VLOOKUP(A498,PRODUCTOS!$A$6:$B$35,2,FALSE),"")</f>
      </c>
      <c r="C498" s="386"/>
      <c r="D498" s="386"/>
      <c r="E498" s="386"/>
      <c r="F498" s="33" t="n">
        <f>IFERROR(VLOOKUP(C498,'MATERIAS PRIMAS'!$B$5:$F$104,5,FALSE),0)</f>
        <v>0</v>
      </c>
      <c r="G498" s="33">
        <f t="shared" si="1"/>
        <v>0</v>
      </c>
      <c r="H498" s="36" t="n">
        <f>IFERROR(D498/VLOOKUP(A498,PRODUCTOS!$A$6:$D$35,4,FALSE),0)</f>
        <v>0</v>
      </c>
      <c r="I498" s="386"/>
      <c r="J498" s="3"/>
      <c r="K498" s="3"/>
      <c r="L498" s="3"/>
      <c r="M498" s="3"/>
    </row>
    <row r="499" ht="15.75" customHeight="1">
      <c r="A499" s="386"/>
      <c r="B499" s="26" t="str">
        <f>IFERROR(VLOOKUP(A499,PRODUCTOS!$A$6:$B$35,2,FALSE),"")</f>
      </c>
      <c r="C499" s="386"/>
      <c r="D499" s="386"/>
      <c r="E499" s="386"/>
      <c r="F499" s="33" t="n">
        <f>IFERROR(VLOOKUP(C499,'MATERIAS PRIMAS'!$B$5:$F$104,5,FALSE),0)</f>
        <v>0</v>
      </c>
      <c r="G499" s="33">
        <f t="shared" si="1"/>
        <v>0</v>
      </c>
      <c r="H499" s="36" t="n">
        <f>IFERROR(D499/VLOOKUP(A499,PRODUCTOS!$A$6:$D$35,4,FALSE),0)</f>
        <v>0</v>
      </c>
      <c r="I499" s="386"/>
      <c r="J499" s="3"/>
      <c r="K499" s="3"/>
      <c r="L499" s="3"/>
      <c r="M499" s="3"/>
    </row>
    <row r="500" ht="15.75" customHeight="1">
      <c r="A500" s="386"/>
      <c r="B500" s="26" t="str">
        <f>IFERROR(VLOOKUP(A500,PRODUCTOS!$A$6:$B$35,2,FALSE),"")</f>
      </c>
      <c r="C500" s="386"/>
      <c r="D500" s="386"/>
      <c r="E500" s="386"/>
      <c r="F500" s="33" t="n">
        <f>IFERROR(VLOOKUP(C500,'MATERIAS PRIMAS'!$B$5:$F$104,5,FALSE),0)</f>
        <v>0</v>
      </c>
      <c r="G500" s="33">
        <f t="shared" si="1"/>
        <v>0</v>
      </c>
      <c r="H500" s="36" t="n">
        <f>IFERROR(D500/VLOOKUP(A500,PRODUCTOS!$A$6:$D$35,4,FALSE),0)</f>
        <v>0</v>
      </c>
      <c r="I500" s="386"/>
      <c r="J500" s="3"/>
      <c r="K500" s="3"/>
      <c r="L500" s="3"/>
      <c r="M500" s="3"/>
    </row>
    <row r="501" ht="15.75" customHeight="1">
      <c r="A501" s="386"/>
      <c r="B501" s="26" t="str">
        <f>IFERROR(VLOOKUP(A501,PRODUCTOS!$A$6:$B$35,2,FALSE),"")</f>
      </c>
      <c r="C501" s="386"/>
      <c r="D501" s="386"/>
      <c r="E501" s="386"/>
      <c r="F501" s="33" t="n">
        <f>IFERROR(VLOOKUP(C501,'MATERIAS PRIMAS'!$B$5:$F$104,5,FALSE),0)</f>
        <v>0</v>
      </c>
      <c r="G501" s="33">
        <f t="shared" si="1"/>
        <v>0</v>
      </c>
      <c r="H501" s="36" t="n">
        <f>IFERROR(D501/VLOOKUP(A501,PRODUCTOS!$A$6:$D$35,4,FALSE),0)</f>
        <v>0</v>
      </c>
      <c r="I501" s="386"/>
      <c r="J501" s="3"/>
      <c r="K501" s="3"/>
      <c r="L501" s="3"/>
      <c r="M501" s="3"/>
    </row>
    <row r="502" ht="15.75" customHeight="1">
      <c r="A502" s="386"/>
      <c r="B502" s="26" t="str">
        <f>IFERROR(VLOOKUP(A502,PRODUCTOS!$A$6:$B$35,2,FALSE),"")</f>
      </c>
      <c r="C502" s="386"/>
      <c r="D502" s="386"/>
      <c r="E502" s="386"/>
      <c r="F502" s="33" t="n">
        <f>IFERROR(VLOOKUP(C502,'MATERIAS PRIMAS'!$B$5:$F$104,5,FALSE),0)</f>
        <v>0</v>
      </c>
      <c r="G502" s="33">
        <f t="shared" si="1"/>
        <v>0</v>
      </c>
      <c r="H502" s="36" t="n">
        <f>IFERROR(D502/VLOOKUP(A502,PRODUCTOS!$A$6:$D$35,4,FALSE),0)</f>
        <v>0</v>
      </c>
      <c r="I502" s="386"/>
      <c r="J502" s="3"/>
      <c r="K502" s="3"/>
      <c r="L502" s="3"/>
      <c r="M502" s="3"/>
    </row>
    <row r="503" ht="15.75" customHeight="1">
      <c r="A503" s="386"/>
      <c r="B503" s="26" t="str">
        <f>IFERROR(VLOOKUP(A503,PRODUCTOS!$A$6:$B$35,2,FALSE),"")</f>
      </c>
      <c r="C503" s="386"/>
      <c r="D503" s="386"/>
      <c r="E503" s="386"/>
      <c r="F503" s="33" t="n">
        <f>IFERROR(VLOOKUP(C503,'MATERIAS PRIMAS'!$B$5:$F$104,5,FALSE),0)</f>
        <v>0</v>
      </c>
      <c r="G503" s="33">
        <f t="shared" si="1"/>
        <v>0</v>
      </c>
      <c r="H503" s="36" t="n">
        <f>IFERROR(D503/VLOOKUP(A503,PRODUCTOS!$A$6:$D$35,4,FALSE),0)</f>
        <v>0</v>
      </c>
      <c r="I503" s="386"/>
      <c r="J503" s="3"/>
      <c r="K503" s="3"/>
      <c r="L503" s="3"/>
      <c r="M503" s="3"/>
    </row>
    <row r="504" ht="15.75" customHeight="1">
      <c r="A504" s="386"/>
      <c r="B504" s="26" t="str">
        <f>IFERROR(VLOOKUP(A504,PRODUCTOS!$A$6:$B$35,2,FALSE),"")</f>
      </c>
      <c r="C504" s="386"/>
      <c r="D504" s="386"/>
      <c r="E504" s="386"/>
      <c r="F504" s="33" t="n">
        <f>IFERROR(VLOOKUP(C504,'MATERIAS PRIMAS'!$B$5:$F$104,5,FALSE),0)</f>
        <v>0</v>
      </c>
      <c r="G504" s="33">
        <f t="shared" si="1"/>
        <v>0</v>
      </c>
      <c r="H504" s="36" t="n">
        <f>IFERROR(D504/VLOOKUP(A504,PRODUCTOS!$A$6:$D$35,4,FALSE),0)</f>
        <v>0</v>
      </c>
      <c r="I504" s="386"/>
      <c r="J504" s="3"/>
      <c r="K504" s="3"/>
      <c r="L504" s="3"/>
      <c r="M504" s="3"/>
    </row>
    <row r="505" ht="15.75" customHeight="1">
      <c r="A505" s="386"/>
      <c r="B505" s="26" t="str">
        <f>IFERROR(VLOOKUP(A505,PRODUCTOS!$A$6:$B$35,2,FALSE),"")</f>
      </c>
      <c r="C505" s="386"/>
      <c r="D505" s="386"/>
      <c r="E505" s="386"/>
      <c r="F505" s="33" t="n">
        <f>IFERROR(VLOOKUP(C505,'MATERIAS PRIMAS'!$B$5:$F$104,5,FALSE),0)</f>
        <v>0</v>
      </c>
      <c r="G505" s="33">
        <f t="shared" si="1"/>
        <v>0</v>
      </c>
      <c r="H505" s="36" t="n">
        <f>IFERROR(D505/VLOOKUP(A505,PRODUCTOS!$A$6:$D$35,4,FALSE),0)</f>
        <v>0</v>
      </c>
      <c r="I505" s="386"/>
      <c r="J505" s="3"/>
      <c r="K505" s="3"/>
      <c r="L505" s="3"/>
      <c r="M505" s="3"/>
    </row>
    <row r="506" ht="15.75" customHeight="1">
      <c r="A506" s="386"/>
      <c r="B506" s="26" t="str">
        <f>IFERROR(VLOOKUP(A506,PRODUCTOS!$A$6:$B$35,2,FALSE),"")</f>
      </c>
      <c r="C506" s="386"/>
      <c r="D506" s="386"/>
      <c r="E506" s="386"/>
      <c r="F506" s="33" t="n">
        <f>IFERROR(VLOOKUP(C506,'MATERIAS PRIMAS'!$B$5:$F$104,5,FALSE),0)</f>
        <v>0</v>
      </c>
      <c r="G506" s="33">
        <f t="shared" si="1"/>
        <v>0</v>
      </c>
      <c r="H506" s="36" t="n">
        <f>IFERROR(D506/VLOOKUP(A506,PRODUCTOS!$A$6:$D$35,4,FALSE),0)</f>
        <v>0</v>
      </c>
      <c r="I506" s="386"/>
      <c r="J506" s="3"/>
      <c r="K506" s="3"/>
      <c r="L506" s="3"/>
      <c r="M506" s="3"/>
    </row>
    <row r="507" ht="15.75" customHeight="1">
      <c r="A507" s="386"/>
      <c r="B507" s="26" t="str">
        <f>IFERROR(VLOOKUP(A507,PRODUCTOS!$A$6:$B$35,2,FALSE),"")</f>
      </c>
      <c r="C507" s="386"/>
      <c r="D507" s="386"/>
      <c r="E507" s="386"/>
      <c r="F507" s="33" t="n">
        <f>IFERROR(VLOOKUP(C507,'MATERIAS PRIMAS'!$B$5:$F$104,5,FALSE),0)</f>
        <v>0</v>
      </c>
      <c r="G507" s="33">
        <f t="shared" si="1"/>
        <v>0</v>
      </c>
      <c r="H507" s="36" t="n">
        <f>IFERROR(D507/VLOOKUP(A507,PRODUCTOS!$A$6:$D$35,4,FALSE),0)</f>
        <v>0</v>
      </c>
      <c r="I507" s="386"/>
      <c r="J507" s="3"/>
      <c r="K507" s="3"/>
      <c r="L507" s="3"/>
      <c r="M507" s="3"/>
    </row>
    <row r="508" ht="15.75" customHeight="1">
      <c r="A508" s="386"/>
      <c r="B508" s="26" t="str">
        <f>IFERROR(VLOOKUP(A508,PRODUCTOS!$A$6:$B$35,2,FALSE),"")</f>
      </c>
      <c r="C508" s="386"/>
      <c r="D508" s="386"/>
      <c r="E508" s="386"/>
      <c r="F508" s="33" t="n">
        <f>IFERROR(VLOOKUP(C508,'MATERIAS PRIMAS'!$B$5:$F$104,5,FALSE),0)</f>
        <v>0</v>
      </c>
      <c r="G508" s="33">
        <f t="shared" si="1"/>
        <v>0</v>
      </c>
      <c r="H508" s="36" t="n">
        <f>IFERROR(D508/VLOOKUP(A508,PRODUCTOS!$A$6:$D$35,4,FALSE),0)</f>
        <v>0</v>
      </c>
      <c r="I508" s="386"/>
      <c r="J508" s="3"/>
      <c r="K508" s="3"/>
      <c r="L508" s="3"/>
      <c r="M508" s="3"/>
    </row>
    <row r="509" ht="15.75" customHeight="1">
      <c r="A509" s="386"/>
      <c r="B509" s="26" t="str">
        <f>IFERROR(VLOOKUP(A509,PRODUCTOS!$A$6:$B$35,2,FALSE),"")</f>
      </c>
      <c r="C509" s="386"/>
      <c r="D509" s="386"/>
      <c r="E509" s="386"/>
      <c r="F509" s="33" t="n">
        <f>IFERROR(VLOOKUP(C509,'MATERIAS PRIMAS'!$B$5:$F$104,5,FALSE),0)</f>
        <v>0</v>
      </c>
      <c r="G509" s="33">
        <f t="shared" si="1"/>
        <v>0</v>
      </c>
      <c r="H509" s="36" t="n">
        <f>IFERROR(D509/VLOOKUP(A509,PRODUCTOS!$A$6:$D$35,4,FALSE),0)</f>
        <v>0</v>
      </c>
      <c r="I509" s="386"/>
      <c r="J509" s="3"/>
      <c r="K509" s="3"/>
      <c r="L509" s="3"/>
      <c r="M509" s="3"/>
    </row>
    <row r="510" ht="15.75" customHeight="1">
      <c r="A510" s="386"/>
      <c r="B510" s="26" t="str">
        <f>IFERROR(VLOOKUP(A510,PRODUCTOS!$A$6:$B$35,2,FALSE),"")</f>
      </c>
      <c r="C510" s="386"/>
      <c r="D510" s="386"/>
      <c r="E510" s="386"/>
      <c r="F510" s="33" t="n">
        <f>IFERROR(VLOOKUP(C510,'MATERIAS PRIMAS'!$B$5:$F$104,5,FALSE),0)</f>
        <v>0</v>
      </c>
      <c r="G510" s="33">
        <f t="shared" si="1"/>
        <v>0</v>
      </c>
      <c r="H510" s="36" t="n">
        <f>IFERROR(D510/VLOOKUP(A510,PRODUCTOS!$A$6:$D$35,4,FALSE),0)</f>
        <v>0</v>
      </c>
      <c r="I510" s="386"/>
      <c r="J510" s="3"/>
      <c r="K510" s="3"/>
      <c r="L510" s="3"/>
      <c r="M510" s="3"/>
    </row>
    <row r="511" ht="15.75" customHeight="1">
      <c r="A511" s="386"/>
      <c r="B511" s="26" t="str">
        <f>IFERROR(VLOOKUP(A511,PRODUCTOS!$A$6:$B$35,2,FALSE),"")</f>
      </c>
      <c r="C511" s="386"/>
      <c r="D511" s="386"/>
      <c r="E511" s="386"/>
      <c r="F511" s="33" t="n">
        <f>IFERROR(VLOOKUP(C511,'MATERIAS PRIMAS'!$B$5:$F$104,5,FALSE),0)</f>
        <v>0</v>
      </c>
      <c r="G511" s="33">
        <f t="shared" si="1"/>
        <v>0</v>
      </c>
      <c r="H511" s="36" t="n">
        <f>IFERROR(D511/VLOOKUP(A511,PRODUCTOS!$A$6:$D$35,4,FALSE),0)</f>
        <v>0</v>
      </c>
      <c r="I511" s="386"/>
      <c r="J511" s="3"/>
      <c r="K511" s="3"/>
      <c r="L511" s="3"/>
      <c r="M511" s="3"/>
    </row>
    <row r="512" ht="15.75" customHeight="1">
      <c r="A512" s="386"/>
      <c r="B512" s="26" t="str">
        <f>IFERROR(VLOOKUP(A512,PRODUCTOS!$A$6:$B$35,2,FALSE),"")</f>
      </c>
      <c r="C512" s="386"/>
      <c r="D512" s="386"/>
      <c r="E512" s="386"/>
      <c r="F512" s="33" t="n">
        <f>IFERROR(VLOOKUP(C512,'MATERIAS PRIMAS'!$B$5:$F$104,5,FALSE),0)</f>
        <v>0</v>
      </c>
      <c r="G512" s="33">
        <f t="shared" si="1"/>
        <v>0</v>
      </c>
      <c r="H512" s="36" t="n">
        <f>IFERROR(D512/VLOOKUP(A512,PRODUCTOS!$A$6:$D$35,4,FALSE),0)</f>
        <v>0</v>
      </c>
      <c r="I512" s="386"/>
      <c r="J512" s="3"/>
      <c r="K512" s="3"/>
      <c r="L512" s="3"/>
      <c r="M512" s="3"/>
    </row>
    <row r="513" ht="15.75" customHeight="1">
      <c r="A513" s="386"/>
      <c r="B513" s="26" t="str">
        <f>IFERROR(VLOOKUP(A513,PRODUCTOS!$A$6:$B$35,2,FALSE),"")</f>
      </c>
      <c r="C513" s="386"/>
      <c r="D513" s="386"/>
      <c r="E513" s="386"/>
      <c r="F513" s="33" t="n">
        <f>IFERROR(VLOOKUP(C513,'MATERIAS PRIMAS'!$B$5:$F$104,5,FALSE),0)</f>
        <v>0</v>
      </c>
      <c r="G513" s="33">
        <f t="shared" si="1"/>
        <v>0</v>
      </c>
      <c r="H513" s="36" t="n">
        <f>IFERROR(D513/VLOOKUP(A513,PRODUCTOS!$A$6:$D$35,4,FALSE),0)</f>
        <v>0</v>
      </c>
      <c r="I513" s="386"/>
      <c r="J513" s="3"/>
      <c r="K513" s="3"/>
      <c r="L513" s="3"/>
      <c r="M513" s="3"/>
    </row>
    <row r="514" ht="15.75" customHeight="1">
      <c r="A514" s="386"/>
      <c r="B514" s="26" t="str">
        <f>IFERROR(VLOOKUP(A514,PRODUCTOS!$A$6:$B$35,2,FALSE),"")</f>
      </c>
      <c r="C514" s="386"/>
      <c r="D514" s="386"/>
      <c r="E514" s="386"/>
      <c r="F514" s="33" t="n">
        <f>IFERROR(VLOOKUP(C514,'MATERIAS PRIMAS'!$B$5:$F$104,5,FALSE),0)</f>
        <v>0</v>
      </c>
      <c r="G514" s="33">
        <f t="shared" si="1"/>
        <v>0</v>
      </c>
      <c r="H514" s="36" t="n">
        <f>IFERROR(D514/VLOOKUP(A514,PRODUCTOS!$A$6:$D$35,4,FALSE),0)</f>
        <v>0</v>
      </c>
      <c r="I514" s="386"/>
      <c r="J514" s="3"/>
      <c r="K514" s="3"/>
      <c r="L514" s="3"/>
      <c r="M514" s="3"/>
    </row>
    <row r="515" ht="15.75" customHeight="1">
      <c r="A515" s="386"/>
      <c r="B515" s="26" t="str">
        <f>IFERROR(VLOOKUP(A515,PRODUCTOS!$A$6:$B$35,2,FALSE),"")</f>
      </c>
      <c r="C515" s="386"/>
      <c r="D515" s="386"/>
      <c r="E515" s="386"/>
      <c r="F515" s="33" t="n">
        <f>IFERROR(VLOOKUP(C515,'MATERIAS PRIMAS'!$B$5:$F$104,5,FALSE),0)</f>
        <v>0</v>
      </c>
      <c r="G515" s="33">
        <f t="shared" si="1"/>
        <v>0</v>
      </c>
      <c r="H515" s="36" t="n">
        <f>IFERROR(D515/VLOOKUP(A515,PRODUCTOS!$A$6:$D$35,4,FALSE),0)</f>
        <v>0</v>
      </c>
      <c r="I515" s="386"/>
      <c r="J515" s="3"/>
      <c r="K515" s="3"/>
      <c r="L515" s="3"/>
      <c r="M515" s="3"/>
    </row>
    <row r="516" ht="15.75" customHeight="1">
      <c r="A516" s="386"/>
      <c r="B516" s="26" t="str">
        <f>IFERROR(VLOOKUP(A516,PRODUCTOS!$A$6:$B$35,2,FALSE),"")</f>
      </c>
      <c r="C516" s="386"/>
      <c r="D516" s="386"/>
      <c r="E516" s="386"/>
      <c r="F516" s="33" t="n">
        <f>IFERROR(VLOOKUP(C516,'MATERIAS PRIMAS'!$B$5:$F$104,5,FALSE),0)</f>
        <v>0</v>
      </c>
      <c r="G516" s="33">
        <f t="shared" si="1"/>
        <v>0</v>
      </c>
      <c r="H516" s="36" t="n">
        <f>IFERROR(D516/VLOOKUP(A516,PRODUCTOS!$A$6:$D$35,4,FALSE),0)</f>
        <v>0</v>
      </c>
      <c r="I516" s="386"/>
      <c r="J516" s="3"/>
      <c r="K516" s="3"/>
      <c r="L516" s="3"/>
      <c r="M516" s="3"/>
    </row>
    <row r="517" ht="15.75" customHeight="1">
      <c r="A517" s="386"/>
      <c r="B517" s="26" t="str">
        <f>IFERROR(VLOOKUP(A517,PRODUCTOS!$A$6:$B$35,2,FALSE),"")</f>
      </c>
      <c r="C517" s="386"/>
      <c r="D517" s="386"/>
      <c r="E517" s="386"/>
      <c r="F517" s="33" t="n">
        <f>IFERROR(VLOOKUP(C517,'MATERIAS PRIMAS'!$B$5:$F$104,5,FALSE),0)</f>
        <v>0</v>
      </c>
      <c r="G517" s="33">
        <f t="shared" si="1"/>
        <v>0</v>
      </c>
      <c r="H517" s="36" t="n">
        <f>IFERROR(D517/VLOOKUP(A517,PRODUCTOS!$A$6:$D$35,4,FALSE),0)</f>
        <v>0</v>
      </c>
      <c r="I517" s="386"/>
      <c r="J517" s="3"/>
      <c r="K517" s="3"/>
      <c r="L517" s="3"/>
      <c r="M517" s="3"/>
    </row>
    <row r="518" ht="15.75" customHeight="1">
      <c r="A518" s="386"/>
      <c r="B518" s="26" t="str">
        <f>IFERROR(VLOOKUP(A518,PRODUCTOS!$A$6:$B$35,2,FALSE),"")</f>
      </c>
      <c r="C518" s="386"/>
      <c r="D518" s="386"/>
      <c r="E518" s="386"/>
      <c r="F518" s="33" t="n">
        <f>IFERROR(VLOOKUP(C518,'MATERIAS PRIMAS'!$B$5:$F$104,5,FALSE),0)</f>
        <v>0</v>
      </c>
      <c r="G518" s="33">
        <f t="shared" si="1"/>
        <v>0</v>
      </c>
      <c r="H518" s="36" t="n">
        <f>IFERROR(D518/VLOOKUP(A518,PRODUCTOS!$A$6:$D$35,4,FALSE),0)</f>
        <v>0</v>
      </c>
      <c r="I518" s="386"/>
      <c r="J518" s="3"/>
      <c r="K518" s="3"/>
      <c r="L518" s="3"/>
      <c r="M518" s="3"/>
    </row>
    <row r="519" ht="15.75" customHeight="1">
      <c r="A519" s="386"/>
      <c r="B519" s="26" t="str">
        <f>IFERROR(VLOOKUP(A519,PRODUCTOS!$A$6:$B$35,2,FALSE),"")</f>
      </c>
      <c r="C519" s="386"/>
      <c r="D519" s="386"/>
      <c r="E519" s="386"/>
      <c r="F519" s="33" t="n">
        <f>IFERROR(VLOOKUP(C519,'MATERIAS PRIMAS'!$B$5:$F$104,5,FALSE),0)</f>
        <v>0</v>
      </c>
      <c r="G519" s="33">
        <f t="shared" si="1"/>
        <v>0</v>
      </c>
      <c r="H519" s="36" t="n">
        <f>IFERROR(D519/VLOOKUP(A519,PRODUCTOS!$A$6:$D$35,4,FALSE),0)</f>
        <v>0</v>
      </c>
      <c r="I519" s="386"/>
      <c r="J519" s="3"/>
      <c r="K519" s="3"/>
      <c r="L519" s="3"/>
      <c r="M519" s="3"/>
    </row>
    <row r="520" ht="15.75" customHeight="1">
      <c r="A520" s="386"/>
      <c r="B520" s="26" t="str">
        <f>IFERROR(VLOOKUP(A520,PRODUCTOS!$A$6:$B$35,2,FALSE),"")</f>
      </c>
      <c r="C520" s="386"/>
      <c r="D520" s="386"/>
      <c r="E520" s="386"/>
      <c r="F520" s="33" t="n">
        <f>IFERROR(VLOOKUP(C520,'MATERIAS PRIMAS'!$B$5:$F$104,5,FALSE),0)</f>
        <v>0</v>
      </c>
      <c r="G520" s="33">
        <f t="shared" si="1"/>
        <v>0</v>
      </c>
      <c r="H520" s="36" t="n">
        <f>IFERROR(D520/VLOOKUP(A520,PRODUCTOS!$A$6:$D$35,4,FALSE),0)</f>
        <v>0</v>
      </c>
      <c r="I520" s="386"/>
      <c r="J520" s="3"/>
      <c r="K520" s="3"/>
      <c r="L520" s="3"/>
      <c r="M520" s="3"/>
    </row>
    <row r="521" ht="15.75" customHeight="1">
      <c r="A521" s="386"/>
      <c r="B521" s="26" t="str">
        <f>IFERROR(VLOOKUP(A521,PRODUCTOS!$A$6:$B$35,2,FALSE),"")</f>
      </c>
      <c r="C521" s="386"/>
      <c r="D521" s="386"/>
      <c r="E521" s="386"/>
      <c r="F521" s="33" t="n">
        <f>IFERROR(VLOOKUP(C521,'MATERIAS PRIMAS'!$B$5:$F$104,5,FALSE),0)</f>
        <v>0</v>
      </c>
      <c r="G521" s="33">
        <f t="shared" si="1"/>
        <v>0</v>
      </c>
      <c r="H521" s="36" t="n">
        <f>IFERROR(D521/VLOOKUP(A521,PRODUCTOS!$A$6:$D$35,4,FALSE),0)</f>
        <v>0</v>
      </c>
      <c r="I521" s="386"/>
      <c r="J521" s="3"/>
      <c r="K521" s="3"/>
      <c r="L521" s="3"/>
      <c r="M521" s="3"/>
    </row>
    <row r="522" ht="15.75" customHeight="1">
      <c r="A522" s="386"/>
      <c r="B522" s="26" t="str">
        <f>IFERROR(VLOOKUP(A522,PRODUCTOS!$A$6:$B$35,2,FALSE),"")</f>
      </c>
      <c r="C522" s="386"/>
      <c r="D522" s="386"/>
      <c r="E522" s="386"/>
      <c r="F522" s="33" t="n">
        <f>IFERROR(VLOOKUP(C522,'MATERIAS PRIMAS'!$B$5:$F$104,5,FALSE),0)</f>
        <v>0</v>
      </c>
      <c r="G522" s="33">
        <f t="shared" si="1"/>
        <v>0</v>
      </c>
      <c r="H522" s="36" t="n">
        <f>IFERROR(D522/VLOOKUP(A522,PRODUCTOS!$A$6:$D$35,4,FALSE),0)</f>
        <v>0</v>
      </c>
      <c r="I522" s="386"/>
      <c r="J522" s="3"/>
      <c r="K522" s="3"/>
      <c r="L522" s="3"/>
      <c r="M522" s="3"/>
    </row>
    <row r="523" ht="15.75" customHeight="1">
      <c r="A523" s="386"/>
      <c r="B523" s="26" t="str">
        <f>IFERROR(VLOOKUP(A523,PRODUCTOS!$A$6:$B$35,2,FALSE),"")</f>
      </c>
      <c r="C523" s="386"/>
      <c r="D523" s="386"/>
      <c r="E523" s="386"/>
      <c r="F523" s="33" t="n">
        <f>IFERROR(VLOOKUP(C523,'MATERIAS PRIMAS'!$B$5:$F$104,5,FALSE),0)</f>
        <v>0</v>
      </c>
      <c r="G523" s="33">
        <f t="shared" si="1"/>
        <v>0</v>
      </c>
      <c r="H523" s="36" t="n">
        <f>IFERROR(D523/VLOOKUP(A523,PRODUCTOS!$A$6:$D$35,4,FALSE),0)</f>
        <v>0</v>
      </c>
      <c r="I523" s="386"/>
      <c r="J523" s="3"/>
      <c r="K523" s="3"/>
      <c r="L523" s="3"/>
      <c r="M523" s="3"/>
    </row>
    <row r="524" ht="15.75" customHeight="1">
      <c r="A524" s="386"/>
      <c r="B524" s="26" t="str">
        <f>IFERROR(VLOOKUP(A524,PRODUCTOS!$A$6:$B$35,2,FALSE),"")</f>
      </c>
      <c r="C524" s="386"/>
      <c r="D524" s="386"/>
      <c r="E524" s="386"/>
      <c r="F524" s="33" t="n">
        <f>IFERROR(VLOOKUP(C524,'MATERIAS PRIMAS'!$B$5:$F$104,5,FALSE),0)</f>
        <v>0</v>
      </c>
      <c r="G524" s="33">
        <f t="shared" si="1"/>
        <v>0</v>
      </c>
      <c r="H524" s="36" t="n">
        <f>IFERROR(D524/VLOOKUP(A524,PRODUCTOS!$A$6:$D$35,4,FALSE),0)</f>
        <v>0</v>
      </c>
      <c r="I524" s="386"/>
      <c r="J524" s="3"/>
      <c r="K524" s="3"/>
      <c r="L524" s="3"/>
      <c r="M524" s="3"/>
    </row>
    <row r="525" ht="15.75" customHeight="1">
      <c r="A525" s="386"/>
      <c r="B525" s="26" t="str">
        <f>IFERROR(VLOOKUP(A525,PRODUCTOS!$A$6:$B$35,2,FALSE),"")</f>
      </c>
      <c r="C525" s="386"/>
      <c r="D525" s="386"/>
      <c r="E525" s="386"/>
      <c r="F525" s="33" t="n">
        <f>IFERROR(VLOOKUP(C525,'MATERIAS PRIMAS'!$B$5:$F$104,5,FALSE),0)</f>
        <v>0</v>
      </c>
      <c r="G525" s="33">
        <f t="shared" si="1"/>
        <v>0</v>
      </c>
      <c r="H525" s="36" t="n">
        <f>IFERROR(D525/VLOOKUP(A525,PRODUCTOS!$A$6:$D$35,4,FALSE),0)</f>
        <v>0</v>
      </c>
      <c r="I525" s="386"/>
      <c r="J525" s="3"/>
      <c r="K525" s="3"/>
      <c r="L525" s="3"/>
      <c r="M525" s="3"/>
    </row>
    <row r="526" ht="15.75" customHeight="1">
      <c r="A526" s="386"/>
      <c r="B526" s="26" t="str">
        <f>IFERROR(VLOOKUP(A526,PRODUCTOS!$A$6:$B$35,2,FALSE),"")</f>
      </c>
      <c r="C526" s="386"/>
      <c r="D526" s="386"/>
      <c r="E526" s="386"/>
      <c r="F526" s="33" t="n">
        <f>IFERROR(VLOOKUP(C526,'MATERIAS PRIMAS'!$B$5:$F$104,5,FALSE),0)</f>
        <v>0</v>
      </c>
      <c r="G526" s="33">
        <f t="shared" si="1"/>
        <v>0</v>
      </c>
      <c r="H526" s="36" t="n">
        <f>IFERROR(D526/VLOOKUP(A526,PRODUCTOS!$A$6:$D$35,4,FALSE),0)</f>
        <v>0</v>
      </c>
      <c r="I526" s="386"/>
      <c r="J526" s="3"/>
      <c r="K526" s="3"/>
      <c r="L526" s="3"/>
      <c r="M526" s="3"/>
    </row>
    <row r="527" ht="15.75" customHeight="1">
      <c r="A527" s="386"/>
      <c r="B527" s="26" t="str">
        <f>IFERROR(VLOOKUP(A527,PRODUCTOS!$A$6:$B$35,2,FALSE),"")</f>
      </c>
      <c r="C527" s="386"/>
      <c r="D527" s="386"/>
      <c r="E527" s="386"/>
      <c r="F527" s="33" t="n">
        <f>IFERROR(VLOOKUP(C527,'MATERIAS PRIMAS'!$B$5:$F$104,5,FALSE),0)</f>
        <v>0</v>
      </c>
      <c r="G527" s="33">
        <f t="shared" si="1"/>
        <v>0</v>
      </c>
      <c r="H527" s="36" t="n">
        <f>IFERROR(D527/VLOOKUP(A527,PRODUCTOS!$A$6:$D$35,4,FALSE),0)</f>
        <v>0</v>
      </c>
      <c r="I527" s="386"/>
      <c r="J527" s="3"/>
      <c r="K527" s="3"/>
      <c r="L527" s="3"/>
      <c r="M527" s="3"/>
    </row>
    <row r="528" ht="15.75" customHeight="1">
      <c r="A528" s="386"/>
      <c r="B528" s="26" t="str">
        <f>IFERROR(VLOOKUP(A528,PRODUCTOS!$A$6:$B$35,2,FALSE),"")</f>
      </c>
      <c r="C528" s="386"/>
      <c r="D528" s="386"/>
      <c r="E528" s="386"/>
      <c r="F528" s="33" t="n">
        <f>IFERROR(VLOOKUP(C528,'MATERIAS PRIMAS'!$B$5:$F$104,5,FALSE),0)</f>
        <v>0</v>
      </c>
      <c r="G528" s="33">
        <f t="shared" si="1"/>
        <v>0</v>
      </c>
      <c r="H528" s="36" t="n">
        <f>IFERROR(D528/VLOOKUP(A528,PRODUCTOS!$A$6:$D$35,4,FALSE),0)</f>
        <v>0</v>
      </c>
      <c r="I528" s="386"/>
      <c r="J528" s="3"/>
      <c r="K528" s="3"/>
      <c r="L528" s="3"/>
      <c r="M528" s="3"/>
    </row>
    <row r="529" ht="15.75" customHeight="1">
      <c r="A529" s="386"/>
      <c r="B529" s="26" t="str">
        <f>IFERROR(VLOOKUP(A529,PRODUCTOS!$A$6:$B$35,2,FALSE),"")</f>
      </c>
      <c r="C529" s="386"/>
      <c r="D529" s="386"/>
      <c r="E529" s="386"/>
      <c r="F529" s="33" t="n">
        <f>IFERROR(VLOOKUP(C529,'MATERIAS PRIMAS'!$B$5:$F$104,5,FALSE),0)</f>
        <v>0</v>
      </c>
      <c r="G529" s="33">
        <f t="shared" si="1"/>
        <v>0</v>
      </c>
      <c r="H529" s="36" t="n">
        <f>IFERROR(D529/VLOOKUP(A529,PRODUCTOS!$A$6:$D$35,4,FALSE),0)</f>
        <v>0</v>
      </c>
      <c r="I529" s="386"/>
      <c r="J529" s="3"/>
      <c r="K529" s="3"/>
      <c r="L529" s="3"/>
      <c r="M529" s="3"/>
    </row>
    <row r="530" ht="15.75" customHeight="1">
      <c r="A530" s="386"/>
      <c r="B530" s="26" t="str">
        <f>IFERROR(VLOOKUP(A530,PRODUCTOS!$A$6:$B$35,2,FALSE),"")</f>
      </c>
      <c r="C530" s="386"/>
      <c r="D530" s="386"/>
      <c r="E530" s="386"/>
      <c r="F530" s="33" t="n">
        <f>IFERROR(VLOOKUP(C530,'MATERIAS PRIMAS'!$B$5:$F$104,5,FALSE),0)</f>
        <v>0</v>
      </c>
      <c r="G530" s="33">
        <f t="shared" si="1"/>
        <v>0</v>
      </c>
      <c r="H530" s="36" t="n">
        <f>IFERROR(D530/VLOOKUP(A530,PRODUCTOS!$A$6:$D$35,4,FALSE),0)</f>
        <v>0</v>
      </c>
      <c r="I530" s="386"/>
      <c r="J530" s="3"/>
      <c r="K530" s="3"/>
      <c r="L530" s="3"/>
      <c r="M530" s="3"/>
    </row>
    <row r="531" ht="15.75" customHeight="1">
      <c r="A531" s="386"/>
      <c r="B531" s="26" t="str">
        <f>IFERROR(VLOOKUP(A531,PRODUCTOS!$A$6:$B$35,2,FALSE),"")</f>
      </c>
      <c r="C531" s="386"/>
      <c r="D531" s="386"/>
      <c r="E531" s="386"/>
      <c r="F531" s="33" t="n">
        <f>IFERROR(VLOOKUP(C531,'MATERIAS PRIMAS'!$B$5:$F$104,5,FALSE),0)</f>
        <v>0</v>
      </c>
      <c r="G531" s="33">
        <f t="shared" si="1"/>
        <v>0</v>
      </c>
      <c r="H531" s="36" t="n">
        <f>IFERROR(D531/VLOOKUP(A531,PRODUCTOS!$A$6:$D$35,4,FALSE),0)</f>
        <v>0</v>
      </c>
      <c r="I531" s="386"/>
      <c r="J531" s="3"/>
      <c r="K531" s="3"/>
      <c r="L531" s="3"/>
      <c r="M531" s="3"/>
    </row>
    <row r="532" ht="15.75" customHeight="1">
      <c r="A532" s="386"/>
      <c r="B532" s="26" t="str">
        <f>IFERROR(VLOOKUP(A532,PRODUCTOS!$A$6:$B$35,2,FALSE),"")</f>
      </c>
      <c r="C532" s="386"/>
      <c r="D532" s="386"/>
      <c r="E532" s="386"/>
      <c r="F532" s="33" t="n">
        <f>IFERROR(VLOOKUP(C532,'MATERIAS PRIMAS'!$B$5:$F$104,5,FALSE),0)</f>
        <v>0</v>
      </c>
      <c r="G532" s="33">
        <f t="shared" si="1"/>
        <v>0</v>
      </c>
      <c r="H532" s="36" t="n">
        <f>IFERROR(D532/VLOOKUP(A532,PRODUCTOS!$A$6:$D$35,4,FALSE),0)</f>
        <v>0</v>
      </c>
      <c r="I532" s="386"/>
      <c r="J532" s="3"/>
      <c r="K532" s="3"/>
      <c r="L532" s="3"/>
      <c r="M532" s="3"/>
    </row>
    <row r="533" ht="15.75" customHeight="1">
      <c r="A533" s="386"/>
      <c r="B533" s="26" t="str">
        <f>IFERROR(VLOOKUP(A533,PRODUCTOS!$A$6:$B$35,2,FALSE),"")</f>
      </c>
      <c r="C533" s="386"/>
      <c r="D533" s="386"/>
      <c r="E533" s="386"/>
      <c r="F533" s="33" t="n">
        <f>IFERROR(VLOOKUP(C533,'MATERIAS PRIMAS'!$B$5:$F$104,5,FALSE),0)</f>
        <v>0</v>
      </c>
      <c r="G533" s="33">
        <f t="shared" si="1"/>
        <v>0</v>
      </c>
      <c r="H533" s="36" t="n">
        <f>IFERROR(D533/VLOOKUP(A533,PRODUCTOS!$A$6:$D$35,4,FALSE),0)</f>
        <v>0</v>
      </c>
      <c r="I533" s="386"/>
      <c r="J533" s="3"/>
      <c r="K533" s="3"/>
      <c r="L533" s="3"/>
      <c r="M533" s="3"/>
    </row>
    <row r="534" ht="15.75" customHeight="1">
      <c r="A534" s="386"/>
      <c r="B534" s="26" t="str">
        <f>IFERROR(VLOOKUP(A534,PRODUCTOS!$A$6:$B$35,2,FALSE),"")</f>
      </c>
      <c r="C534" s="386"/>
      <c r="D534" s="386"/>
      <c r="E534" s="386"/>
      <c r="F534" s="33" t="n">
        <f>IFERROR(VLOOKUP(C534,'MATERIAS PRIMAS'!$B$5:$F$104,5,FALSE),0)</f>
        <v>0</v>
      </c>
      <c r="G534" s="33">
        <f t="shared" si="1"/>
        <v>0</v>
      </c>
      <c r="H534" s="36" t="n">
        <f>IFERROR(D534/VLOOKUP(A534,PRODUCTOS!$A$6:$D$35,4,FALSE),0)</f>
        <v>0</v>
      </c>
      <c r="I534" s="386"/>
      <c r="J534" s="3"/>
      <c r="K534" s="3"/>
      <c r="L534" s="3"/>
      <c r="M534" s="3"/>
    </row>
    <row r="535" ht="15.75" customHeight="1">
      <c r="A535" s="386"/>
      <c r="B535" s="26" t="str">
        <f>IFERROR(VLOOKUP(A535,PRODUCTOS!$A$6:$B$35,2,FALSE),"")</f>
      </c>
      <c r="C535" s="386"/>
      <c r="D535" s="386"/>
      <c r="E535" s="386"/>
      <c r="F535" s="33" t="n">
        <f>IFERROR(VLOOKUP(C535,'MATERIAS PRIMAS'!$B$5:$F$104,5,FALSE),0)</f>
        <v>0</v>
      </c>
      <c r="G535" s="33">
        <f t="shared" si="1"/>
        <v>0</v>
      </c>
      <c r="H535" s="36" t="n">
        <f>IFERROR(D535/VLOOKUP(A535,PRODUCTOS!$A$6:$D$35,4,FALSE),0)</f>
        <v>0</v>
      </c>
      <c r="I535" s="386"/>
      <c r="J535" s="3"/>
      <c r="K535" s="3"/>
      <c r="L535" s="3"/>
      <c r="M535" s="3"/>
    </row>
    <row r="536" ht="15.75" customHeight="1">
      <c r="A536" s="386"/>
      <c r="B536" s="26" t="str">
        <f>IFERROR(VLOOKUP(A536,PRODUCTOS!$A$6:$B$35,2,FALSE),"")</f>
      </c>
      <c r="C536" s="386"/>
      <c r="D536" s="386"/>
      <c r="E536" s="386"/>
      <c r="F536" s="33" t="n">
        <f>IFERROR(VLOOKUP(C536,'MATERIAS PRIMAS'!$B$5:$F$104,5,FALSE),0)</f>
        <v>0</v>
      </c>
      <c r="G536" s="33">
        <f t="shared" si="1"/>
        <v>0</v>
      </c>
      <c r="H536" s="36" t="n">
        <f>IFERROR(D536/VLOOKUP(A536,PRODUCTOS!$A$6:$D$35,4,FALSE),0)</f>
        <v>0</v>
      </c>
      <c r="I536" s="386"/>
      <c r="J536" s="3"/>
      <c r="K536" s="3"/>
      <c r="L536" s="3"/>
      <c r="M536" s="3"/>
    </row>
    <row r="537" ht="15.75" customHeight="1">
      <c r="A537" s="386"/>
      <c r="B537" s="26" t="str">
        <f>IFERROR(VLOOKUP(A537,PRODUCTOS!$A$6:$B$35,2,FALSE),"")</f>
      </c>
      <c r="C537" s="386"/>
      <c r="D537" s="386"/>
      <c r="E537" s="386"/>
      <c r="F537" s="33" t="n">
        <f>IFERROR(VLOOKUP(C537,'MATERIAS PRIMAS'!$B$5:$F$104,5,FALSE),0)</f>
        <v>0</v>
      </c>
      <c r="G537" s="33">
        <f t="shared" si="1"/>
        <v>0</v>
      </c>
      <c r="H537" s="36" t="n">
        <f>IFERROR(D537/VLOOKUP(A537,PRODUCTOS!$A$6:$D$35,4,FALSE),0)</f>
        <v>0</v>
      </c>
      <c r="I537" s="386"/>
      <c r="J537" s="3"/>
      <c r="K537" s="3"/>
      <c r="L537" s="3"/>
      <c r="M537" s="3"/>
    </row>
    <row r="538" ht="15.75" customHeight="1">
      <c r="A538" s="386"/>
      <c r="B538" s="26" t="str">
        <f>IFERROR(VLOOKUP(A538,PRODUCTOS!$A$6:$B$35,2,FALSE),"")</f>
      </c>
      <c r="C538" s="386"/>
      <c r="D538" s="386"/>
      <c r="E538" s="386"/>
      <c r="F538" s="33" t="n">
        <f>IFERROR(VLOOKUP(C538,'MATERIAS PRIMAS'!$B$5:$F$104,5,FALSE),0)</f>
        <v>0</v>
      </c>
      <c r="G538" s="33">
        <f t="shared" si="1"/>
        <v>0</v>
      </c>
      <c r="H538" s="36" t="n">
        <f>IFERROR(D538/VLOOKUP(A538,PRODUCTOS!$A$6:$D$35,4,FALSE),0)</f>
        <v>0</v>
      </c>
      <c r="I538" s="386"/>
      <c r="J538" s="3"/>
      <c r="K538" s="3"/>
      <c r="L538" s="3"/>
      <c r="M538" s="3"/>
    </row>
    <row r="539" ht="15.75" customHeight="1">
      <c r="A539" s="386"/>
      <c r="B539" s="26" t="str">
        <f>IFERROR(VLOOKUP(A539,PRODUCTOS!$A$6:$B$35,2,FALSE),"")</f>
      </c>
      <c r="C539" s="386"/>
      <c r="D539" s="386"/>
      <c r="E539" s="386"/>
      <c r="F539" s="33" t="n">
        <f>IFERROR(VLOOKUP(C539,'MATERIAS PRIMAS'!$B$5:$F$104,5,FALSE),0)</f>
        <v>0</v>
      </c>
      <c r="G539" s="33">
        <f t="shared" si="1"/>
        <v>0</v>
      </c>
      <c r="H539" s="36" t="n">
        <f>IFERROR(D539/VLOOKUP(A539,PRODUCTOS!$A$6:$D$35,4,FALSE),0)</f>
        <v>0</v>
      </c>
      <c r="I539" s="386"/>
      <c r="J539" s="3"/>
      <c r="K539" s="3"/>
      <c r="L539" s="3"/>
      <c r="M539" s="3"/>
    </row>
    <row r="540" ht="15.75" customHeight="1">
      <c r="A540" s="386"/>
      <c r="B540" s="26" t="str">
        <f>IFERROR(VLOOKUP(A540,PRODUCTOS!$A$6:$B$35,2,FALSE),"")</f>
      </c>
      <c r="C540" s="386"/>
      <c r="D540" s="386"/>
      <c r="E540" s="386"/>
      <c r="F540" s="33" t="n">
        <f>IFERROR(VLOOKUP(C540,'MATERIAS PRIMAS'!$B$5:$F$104,5,FALSE),0)</f>
        <v>0</v>
      </c>
      <c r="G540" s="33">
        <f t="shared" si="1"/>
        <v>0</v>
      </c>
      <c r="H540" s="36" t="n">
        <f>IFERROR(D540/VLOOKUP(A540,PRODUCTOS!$A$6:$D$35,4,FALSE),0)</f>
        <v>0</v>
      </c>
      <c r="I540" s="386"/>
      <c r="J540" s="3"/>
      <c r="K540" s="3"/>
      <c r="L540" s="3"/>
      <c r="M540" s="3"/>
    </row>
    <row r="541" ht="15.75" customHeight="1">
      <c r="A541" s="386"/>
      <c r="B541" s="26" t="str">
        <f>IFERROR(VLOOKUP(A541,PRODUCTOS!$A$6:$B$35,2,FALSE),"")</f>
      </c>
      <c r="C541" s="386"/>
      <c r="D541" s="386"/>
      <c r="E541" s="386"/>
      <c r="F541" s="33" t="n">
        <f>IFERROR(VLOOKUP(C541,'MATERIAS PRIMAS'!$B$5:$F$104,5,FALSE),0)</f>
        <v>0</v>
      </c>
      <c r="G541" s="33">
        <f t="shared" si="1"/>
        <v>0</v>
      </c>
      <c r="H541" s="36" t="n">
        <f>IFERROR(D541/VLOOKUP(A541,PRODUCTOS!$A$6:$D$35,4,FALSE),0)</f>
        <v>0</v>
      </c>
      <c r="I541" s="386"/>
      <c r="J541" s="3"/>
      <c r="K541" s="3"/>
      <c r="L541" s="3"/>
      <c r="M541" s="3"/>
    </row>
    <row r="542" ht="15.75" customHeight="1">
      <c r="A542" s="386"/>
      <c r="B542" s="26" t="str">
        <f>IFERROR(VLOOKUP(A542,PRODUCTOS!$A$6:$B$35,2,FALSE),"")</f>
      </c>
      <c r="C542" s="386"/>
      <c r="D542" s="386"/>
      <c r="E542" s="386"/>
      <c r="F542" s="33" t="n">
        <f>IFERROR(VLOOKUP(C542,'MATERIAS PRIMAS'!$B$5:$F$104,5,FALSE),0)</f>
        <v>0</v>
      </c>
      <c r="G542" s="33">
        <f t="shared" si="1"/>
        <v>0</v>
      </c>
      <c r="H542" s="36" t="n">
        <f>IFERROR(D542/VLOOKUP(A542,PRODUCTOS!$A$6:$D$35,4,FALSE),0)</f>
        <v>0</v>
      </c>
      <c r="I542" s="386"/>
      <c r="J542" s="3"/>
      <c r="K542" s="3"/>
      <c r="L542" s="3"/>
      <c r="M542" s="3"/>
    </row>
    <row r="543" ht="15.75" customHeight="1">
      <c r="A543" s="386"/>
      <c r="B543" s="26" t="str">
        <f>IFERROR(VLOOKUP(A543,PRODUCTOS!$A$6:$B$35,2,FALSE),"")</f>
      </c>
      <c r="C543" s="386"/>
      <c r="D543" s="386"/>
      <c r="E543" s="386"/>
      <c r="F543" s="33" t="n">
        <f>IFERROR(VLOOKUP(C543,'MATERIAS PRIMAS'!$B$5:$F$104,5,FALSE),0)</f>
        <v>0</v>
      </c>
      <c r="G543" s="33">
        <f t="shared" si="1"/>
        <v>0</v>
      </c>
      <c r="H543" s="36" t="n">
        <f>IFERROR(D543/VLOOKUP(A543,PRODUCTOS!$A$6:$D$35,4,FALSE),0)</f>
        <v>0</v>
      </c>
      <c r="I543" s="386"/>
      <c r="J543" s="3"/>
      <c r="K543" s="3"/>
      <c r="L543" s="3"/>
      <c r="M543" s="3"/>
    </row>
    <row r="544" ht="15.75" customHeight="1">
      <c r="A544" s="386"/>
      <c r="B544" s="26" t="str">
        <f>IFERROR(VLOOKUP(A544,PRODUCTOS!$A$6:$B$35,2,FALSE),"")</f>
      </c>
      <c r="C544" s="386"/>
      <c r="D544" s="386"/>
      <c r="E544" s="386"/>
      <c r="F544" s="33" t="n">
        <f>IFERROR(VLOOKUP(C544,'MATERIAS PRIMAS'!$B$5:$F$104,5,FALSE),0)</f>
        <v>0</v>
      </c>
      <c r="G544" s="33">
        <f t="shared" si="1"/>
        <v>0</v>
      </c>
      <c r="H544" s="36" t="n">
        <f>IFERROR(D544/VLOOKUP(A544,PRODUCTOS!$A$6:$D$35,4,FALSE),0)</f>
        <v>0</v>
      </c>
      <c r="I544" s="386"/>
      <c r="J544" s="3"/>
      <c r="K544" s="3"/>
      <c r="L544" s="3"/>
      <c r="M544" s="3"/>
    </row>
    <row r="545" ht="15.75" customHeight="1">
      <c r="A545" s="386"/>
      <c r="B545" s="26" t="str">
        <f>IFERROR(VLOOKUP(A545,PRODUCTOS!$A$6:$B$35,2,FALSE),"")</f>
      </c>
      <c r="C545" s="386"/>
      <c r="D545" s="386"/>
      <c r="E545" s="386"/>
      <c r="F545" s="33" t="n">
        <f>IFERROR(VLOOKUP(C545,'MATERIAS PRIMAS'!$B$5:$F$104,5,FALSE),0)</f>
        <v>0</v>
      </c>
      <c r="G545" s="33">
        <f t="shared" si="1"/>
        <v>0</v>
      </c>
      <c r="H545" s="36" t="n">
        <f>IFERROR(D545/VLOOKUP(A545,PRODUCTOS!$A$6:$D$35,4,FALSE),0)</f>
        <v>0</v>
      </c>
      <c r="I545" s="386"/>
      <c r="J545" s="3"/>
      <c r="K545" s="3"/>
      <c r="L545" s="3"/>
      <c r="M545" s="3"/>
    </row>
    <row r="546" ht="15.75" customHeight="1">
      <c r="A546" s="386"/>
      <c r="B546" s="26" t="str">
        <f>IFERROR(VLOOKUP(A546,PRODUCTOS!$A$6:$B$35,2,FALSE),"")</f>
      </c>
      <c r="C546" s="386"/>
      <c r="D546" s="386"/>
      <c r="E546" s="386"/>
      <c r="F546" s="33" t="n">
        <f>IFERROR(VLOOKUP(C546,'MATERIAS PRIMAS'!$B$5:$F$104,5,FALSE),0)</f>
        <v>0</v>
      </c>
      <c r="G546" s="33">
        <f t="shared" si="1"/>
        <v>0</v>
      </c>
      <c r="H546" s="36" t="n">
        <f>IFERROR(D546/VLOOKUP(A546,PRODUCTOS!$A$6:$D$35,4,FALSE),0)</f>
        <v>0</v>
      </c>
      <c r="I546" s="386"/>
      <c r="J546" s="3"/>
      <c r="K546" s="3"/>
      <c r="L546" s="3"/>
      <c r="M546" s="3"/>
    </row>
    <row r="547" ht="15.75" customHeight="1">
      <c r="A547" s="386"/>
      <c r="B547" s="26" t="str">
        <f>IFERROR(VLOOKUP(A547,PRODUCTOS!$A$6:$B$35,2,FALSE),"")</f>
      </c>
      <c r="C547" s="386"/>
      <c r="D547" s="386"/>
      <c r="E547" s="386"/>
      <c r="F547" s="33" t="n">
        <f>IFERROR(VLOOKUP(C547,'MATERIAS PRIMAS'!$B$5:$F$104,5,FALSE),0)</f>
        <v>0</v>
      </c>
      <c r="G547" s="33">
        <f t="shared" si="1"/>
        <v>0</v>
      </c>
      <c r="H547" s="36" t="n">
        <f>IFERROR(D547/VLOOKUP(A547,PRODUCTOS!$A$6:$D$35,4,FALSE),0)</f>
        <v>0</v>
      </c>
      <c r="I547" s="386"/>
      <c r="J547" s="3"/>
      <c r="K547" s="3"/>
      <c r="L547" s="3"/>
      <c r="M547" s="3"/>
    </row>
    <row r="548" ht="15.75" customHeight="1">
      <c r="A548" s="386"/>
      <c r="B548" s="26" t="str">
        <f>IFERROR(VLOOKUP(A548,PRODUCTOS!$A$6:$B$35,2,FALSE),"")</f>
      </c>
      <c r="C548" s="386"/>
      <c r="D548" s="386"/>
      <c r="E548" s="386"/>
      <c r="F548" s="33" t="n">
        <f>IFERROR(VLOOKUP(C548,'MATERIAS PRIMAS'!$B$5:$F$104,5,FALSE),0)</f>
        <v>0</v>
      </c>
      <c r="G548" s="33">
        <f t="shared" si="1"/>
        <v>0</v>
      </c>
      <c r="H548" s="36" t="n">
        <f>IFERROR(D548/VLOOKUP(A548,PRODUCTOS!$A$6:$D$35,4,FALSE),0)</f>
        <v>0</v>
      </c>
      <c r="I548" s="386"/>
      <c r="J548" s="3"/>
      <c r="K548" s="3"/>
      <c r="L548" s="3"/>
      <c r="M548" s="3"/>
    </row>
    <row r="549" ht="15.75" customHeight="1">
      <c r="A549" s="386"/>
      <c r="B549" s="26" t="str">
        <f>IFERROR(VLOOKUP(A549,PRODUCTOS!$A$6:$B$35,2,FALSE),"")</f>
      </c>
      <c r="C549" s="386"/>
      <c r="D549" s="386"/>
      <c r="E549" s="386"/>
      <c r="F549" s="33" t="n">
        <f>IFERROR(VLOOKUP(C549,'MATERIAS PRIMAS'!$B$5:$F$104,5,FALSE),0)</f>
        <v>0</v>
      </c>
      <c r="G549" s="33">
        <f t="shared" si="1"/>
        <v>0</v>
      </c>
      <c r="H549" s="36" t="n">
        <f>IFERROR(D549/VLOOKUP(A549,PRODUCTOS!$A$6:$D$35,4,FALSE),0)</f>
        <v>0</v>
      </c>
      <c r="I549" s="386"/>
      <c r="J549" s="3"/>
      <c r="K549" s="3"/>
      <c r="L549" s="3"/>
      <c r="M549" s="3"/>
    </row>
    <row r="550" ht="15.75" customHeight="1">
      <c r="A550" s="386"/>
      <c r="B550" s="26" t="str">
        <f>IFERROR(VLOOKUP(A550,PRODUCTOS!$A$6:$B$35,2,FALSE),"")</f>
      </c>
      <c r="C550" s="386"/>
      <c r="D550" s="386"/>
      <c r="E550" s="386"/>
      <c r="F550" s="33" t="n">
        <f>IFERROR(VLOOKUP(C550,'MATERIAS PRIMAS'!$B$5:$F$104,5,FALSE),0)</f>
        <v>0</v>
      </c>
      <c r="G550" s="33">
        <f t="shared" si="1"/>
        <v>0</v>
      </c>
      <c r="H550" s="36" t="n">
        <f>IFERROR(D550/VLOOKUP(A550,PRODUCTOS!$A$6:$D$35,4,FALSE),0)</f>
        <v>0</v>
      </c>
      <c r="I550" s="386"/>
      <c r="J550" s="3"/>
      <c r="K550" s="3"/>
      <c r="L550" s="3"/>
      <c r="M550" s="3"/>
    </row>
    <row r="551" ht="15.75" customHeight="1">
      <c r="A551" s="386"/>
      <c r="B551" s="26" t="str">
        <f>IFERROR(VLOOKUP(A551,PRODUCTOS!$A$6:$B$35,2,FALSE),"")</f>
      </c>
      <c r="C551" s="386"/>
      <c r="D551" s="386"/>
      <c r="E551" s="386"/>
      <c r="F551" s="33" t="n">
        <f>IFERROR(VLOOKUP(C551,'MATERIAS PRIMAS'!$B$5:$F$104,5,FALSE),0)</f>
        <v>0</v>
      </c>
      <c r="G551" s="33">
        <f t="shared" si="1"/>
        <v>0</v>
      </c>
      <c r="H551" s="36" t="n">
        <f>IFERROR(D551/VLOOKUP(A551,PRODUCTOS!$A$6:$D$35,4,FALSE),0)</f>
        <v>0</v>
      </c>
      <c r="I551" s="386"/>
      <c r="J551" s="3"/>
      <c r="K551" s="3"/>
      <c r="L551" s="3"/>
      <c r="M551" s="3"/>
    </row>
    <row r="552" ht="15.75" customHeight="1">
      <c r="A552" s="386"/>
      <c r="B552" s="26" t="str">
        <f>IFERROR(VLOOKUP(A552,PRODUCTOS!$A$6:$B$35,2,FALSE),"")</f>
      </c>
      <c r="C552" s="386"/>
      <c r="D552" s="386"/>
      <c r="E552" s="386"/>
      <c r="F552" s="33" t="n">
        <f>IFERROR(VLOOKUP(C552,'MATERIAS PRIMAS'!$B$5:$F$104,5,FALSE),0)</f>
        <v>0</v>
      </c>
      <c r="G552" s="33">
        <f t="shared" si="1"/>
        <v>0</v>
      </c>
      <c r="H552" s="36" t="n">
        <f>IFERROR(D552/VLOOKUP(A552,PRODUCTOS!$A$6:$D$35,4,FALSE),0)</f>
        <v>0</v>
      </c>
      <c r="I552" s="386"/>
      <c r="J552" s="3"/>
      <c r="K552" s="3"/>
      <c r="L552" s="3"/>
      <c r="M552" s="3"/>
    </row>
    <row r="553" ht="15.75" customHeight="1">
      <c r="A553" s="386"/>
      <c r="B553" s="26" t="str">
        <f>IFERROR(VLOOKUP(A553,PRODUCTOS!$A$6:$B$35,2,FALSE),"")</f>
      </c>
      <c r="C553" s="386"/>
      <c r="D553" s="386"/>
      <c r="E553" s="386"/>
      <c r="F553" s="33" t="n">
        <f>IFERROR(VLOOKUP(C553,'MATERIAS PRIMAS'!$B$5:$F$104,5,FALSE),0)</f>
        <v>0</v>
      </c>
      <c r="G553" s="33">
        <f t="shared" si="1"/>
        <v>0</v>
      </c>
      <c r="H553" s="36" t="n">
        <f>IFERROR(D553/VLOOKUP(A553,PRODUCTOS!$A$6:$D$35,4,FALSE),0)</f>
        <v>0</v>
      </c>
      <c r="I553" s="386"/>
      <c r="J553" s="3"/>
      <c r="K553" s="3"/>
      <c r="L553" s="3"/>
      <c r="M553" s="3"/>
    </row>
    <row r="554" ht="15.75" customHeight="1">
      <c r="A554" s="386"/>
      <c r="B554" s="26" t="str">
        <f>IFERROR(VLOOKUP(A554,PRODUCTOS!$A$6:$B$35,2,FALSE),"")</f>
      </c>
      <c r="C554" s="386"/>
      <c r="D554" s="386"/>
      <c r="E554" s="386"/>
      <c r="F554" s="33" t="n">
        <f>IFERROR(VLOOKUP(C554,'MATERIAS PRIMAS'!$B$5:$F$104,5,FALSE),0)</f>
        <v>0</v>
      </c>
      <c r="G554" s="33">
        <f t="shared" si="1"/>
        <v>0</v>
      </c>
      <c r="H554" s="36" t="n">
        <f>IFERROR(D554/VLOOKUP(A554,PRODUCTOS!$A$6:$D$35,4,FALSE),0)</f>
        <v>0</v>
      </c>
      <c r="I554" s="386"/>
      <c r="J554" s="3"/>
      <c r="K554" s="3"/>
      <c r="L554" s="3"/>
      <c r="M554" s="3"/>
    </row>
    <row r="555" ht="15.75" customHeight="1">
      <c r="A555" s="386"/>
      <c r="B555" s="26" t="str">
        <f>IFERROR(VLOOKUP(A555,PRODUCTOS!$A$6:$B$35,2,FALSE),"")</f>
      </c>
      <c r="C555" s="386"/>
      <c r="D555" s="386"/>
      <c r="E555" s="386"/>
      <c r="F555" s="33" t="n">
        <f>IFERROR(VLOOKUP(C555,'MATERIAS PRIMAS'!$B$5:$F$104,5,FALSE),0)</f>
        <v>0</v>
      </c>
      <c r="G555" s="33">
        <f t="shared" si="1"/>
        <v>0</v>
      </c>
      <c r="H555" s="36" t="n">
        <f>IFERROR(D555/VLOOKUP(A555,PRODUCTOS!$A$6:$D$35,4,FALSE),0)</f>
        <v>0</v>
      </c>
      <c r="I555" s="386"/>
      <c r="J555" s="3"/>
      <c r="K555" s="3"/>
      <c r="L555" s="3"/>
      <c r="M555" s="3"/>
    </row>
    <row r="556" ht="15.75" customHeight="1">
      <c r="A556" s="386"/>
      <c r="B556" s="26" t="str">
        <f>IFERROR(VLOOKUP(A556,PRODUCTOS!$A$6:$B$35,2,FALSE),"")</f>
      </c>
      <c r="C556" s="386"/>
      <c r="D556" s="386"/>
      <c r="E556" s="386"/>
      <c r="F556" s="33" t="n">
        <f>IFERROR(VLOOKUP(C556,'MATERIAS PRIMAS'!$B$5:$F$104,5,FALSE),0)</f>
        <v>0</v>
      </c>
      <c r="G556" s="33">
        <f t="shared" si="1"/>
        <v>0</v>
      </c>
      <c r="H556" s="36" t="n">
        <f>IFERROR(D556/VLOOKUP(A556,PRODUCTOS!$A$6:$D$35,4,FALSE),0)</f>
        <v>0</v>
      </c>
      <c r="I556" s="386"/>
      <c r="J556" s="3"/>
      <c r="K556" s="3"/>
      <c r="L556" s="3"/>
      <c r="M556" s="3"/>
    </row>
    <row r="557" ht="15.75" customHeight="1">
      <c r="A557" s="386"/>
      <c r="B557" s="26" t="str">
        <f>IFERROR(VLOOKUP(A557,PRODUCTOS!$A$6:$B$35,2,FALSE),"")</f>
      </c>
      <c r="C557" s="386"/>
      <c r="D557" s="386"/>
      <c r="E557" s="386"/>
      <c r="F557" s="33" t="n">
        <f>IFERROR(VLOOKUP(C557,'MATERIAS PRIMAS'!$B$5:$F$104,5,FALSE),0)</f>
        <v>0</v>
      </c>
      <c r="G557" s="33">
        <f t="shared" si="1"/>
        <v>0</v>
      </c>
      <c r="H557" s="36" t="n">
        <f>IFERROR(D557/VLOOKUP(A557,PRODUCTOS!$A$6:$D$35,4,FALSE),0)</f>
        <v>0</v>
      </c>
      <c r="I557" s="386"/>
      <c r="J557" s="3"/>
      <c r="K557" s="3"/>
      <c r="L557" s="3"/>
      <c r="M557" s="3"/>
    </row>
    <row r="558" ht="15.75" customHeight="1">
      <c r="A558" s="386"/>
      <c r="B558" s="26" t="str">
        <f>IFERROR(VLOOKUP(A558,PRODUCTOS!$A$6:$B$35,2,FALSE),"")</f>
      </c>
      <c r="C558" s="386"/>
      <c r="D558" s="386"/>
      <c r="E558" s="386"/>
      <c r="F558" s="33" t="n">
        <f>IFERROR(VLOOKUP(C558,'MATERIAS PRIMAS'!$B$5:$F$104,5,FALSE),0)</f>
        <v>0</v>
      </c>
      <c r="G558" s="33">
        <f t="shared" si="1"/>
        <v>0</v>
      </c>
      <c r="H558" s="36" t="n">
        <f>IFERROR(D558/VLOOKUP(A558,PRODUCTOS!$A$6:$D$35,4,FALSE),0)</f>
        <v>0</v>
      </c>
      <c r="I558" s="386"/>
      <c r="J558" s="3"/>
      <c r="K558" s="3"/>
      <c r="L558" s="3"/>
      <c r="M558" s="3"/>
    </row>
    <row r="559" ht="15.75" customHeight="1">
      <c r="A559" s="386"/>
      <c r="B559" s="26" t="str">
        <f>IFERROR(VLOOKUP(A559,PRODUCTOS!$A$6:$B$35,2,FALSE),"")</f>
      </c>
      <c r="C559" s="386"/>
      <c r="D559" s="386"/>
      <c r="E559" s="386"/>
      <c r="F559" s="33" t="n">
        <f>IFERROR(VLOOKUP(C559,'MATERIAS PRIMAS'!$B$5:$F$104,5,FALSE),0)</f>
        <v>0</v>
      </c>
      <c r="G559" s="33">
        <f t="shared" si="1"/>
        <v>0</v>
      </c>
      <c r="H559" s="36" t="n">
        <f>IFERROR(D559/VLOOKUP(A559,PRODUCTOS!$A$6:$D$35,4,FALSE),0)</f>
        <v>0</v>
      </c>
      <c r="I559" s="386"/>
      <c r="J559" s="3"/>
      <c r="K559" s="3"/>
      <c r="L559" s="3"/>
      <c r="M559" s="3"/>
    </row>
    <row r="560" ht="15.75" customHeight="1">
      <c r="A560" s="386"/>
      <c r="B560" s="26" t="str">
        <f>IFERROR(VLOOKUP(A560,PRODUCTOS!$A$6:$B$35,2,FALSE),"")</f>
      </c>
      <c r="C560" s="386"/>
      <c r="D560" s="386"/>
      <c r="E560" s="386"/>
      <c r="F560" s="33" t="n">
        <f>IFERROR(VLOOKUP(C560,'MATERIAS PRIMAS'!$B$5:$F$104,5,FALSE),0)</f>
        <v>0</v>
      </c>
      <c r="G560" s="33">
        <f t="shared" si="1"/>
        <v>0</v>
      </c>
      <c r="H560" s="36" t="n">
        <f>IFERROR(D560/VLOOKUP(A560,PRODUCTOS!$A$6:$D$35,4,FALSE),0)</f>
        <v>0</v>
      </c>
      <c r="I560" s="386"/>
      <c r="J560" s="3"/>
      <c r="K560" s="3"/>
      <c r="L560" s="3"/>
      <c r="M560" s="3"/>
    </row>
    <row r="561" ht="15.75" customHeight="1">
      <c r="A561" s="386"/>
      <c r="B561" s="26" t="str">
        <f>IFERROR(VLOOKUP(A561,PRODUCTOS!$A$6:$B$35,2,FALSE),"")</f>
      </c>
      <c r="C561" s="386"/>
      <c r="D561" s="386"/>
      <c r="E561" s="386"/>
      <c r="F561" s="33" t="n">
        <f>IFERROR(VLOOKUP(C561,'MATERIAS PRIMAS'!$B$5:$F$104,5,FALSE),0)</f>
        <v>0</v>
      </c>
      <c r="G561" s="33">
        <f t="shared" si="1"/>
        <v>0</v>
      </c>
      <c r="H561" s="36" t="n">
        <f>IFERROR(D561/VLOOKUP(A561,PRODUCTOS!$A$6:$D$35,4,FALSE),0)</f>
        <v>0</v>
      </c>
      <c r="I561" s="386"/>
      <c r="J561" s="3"/>
      <c r="K561" s="3"/>
      <c r="L561" s="3"/>
      <c r="M561" s="3"/>
    </row>
    <row r="562" ht="15.75" customHeight="1">
      <c r="A562" s="386"/>
      <c r="B562" s="26" t="str">
        <f>IFERROR(VLOOKUP(A562,PRODUCTOS!$A$6:$B$35,2,FALSE),"")</f>
      </c>
      <c r="C562" s="386"/>
      <c r="D562" s="386"/>
      <c r="E562" s="386"/>
      <c r="F562" s="33" t="n">
        <f>IFERROR(VLOOKUP(C562,'MATERIAS PRIMAS'!$B$5:$F$104,5,FALSE),0)</f>
        <v>0</v>
      </c>
      <c r="G562" s="33">
        <f t="shared" si="1"/>
        <v>0</v>
      </c>
      <c r="H562" s="36" t="n">
        <f>IFERROR(D562/VLOOKUP(A562,PRODUCTOS!$A$6:$D$35,4,FALSE),0)</f>
        <v>0</v>
      </c>
      <c r="I562" s="386"/>
      <c r="J562" s="3"/>
      <c r="K562" s="3"/>
      <c r="L562" s="3"/>
      <c r="M562" s="3"/>
    </row>
    <row r="563" ht="15.75" customHeight="1">
      <c r="A563" s="386"/>
      <c r="B563" s="26" t="str">
        <f>IFERROR(VLOOKUP(A563,PRODUCTOS!$A$6:$B$35,2,FALSE),"")</f>
      </c>
      <c r="C563" s="386"/>
      <c r="D563" s="386"/>
      <c r="E563" s="386"/>
      <c r="F563" s="33" t="n">
        <f>IFERROR(VLOOKUP(C563,'MATERIAS PRIMAS'!$B$5:$F$104,5,FALSE),0)</f>
        <v>0</v>
      </c>
      <c r="G563" s="33">
        <f t="shared" si="1"/>
        <v>0</v>
      </c>
      <c r="H563" s="36" t="n">
        <f>IFERROR(D563/VLOOKUP(A563,PRODUCTOS!$A$6:$D$35,4,FALSE),0)</f>
        <v>0</v>
      </c>
      <c r="I563" s="386"/>
      <c r="J563" s="3"/>
      <c r="K563" s="3"/>
      <c r="L563" s="3"/>
      <c r="M563" s="3"/>
    </row>
    <row r="564" ht="15.75" customHeight="1">
      <c r="A564" s="386"/>
      <c r="B564" s="26" t="str">
        <f>IFERROR(VLOOKUP(A564,PRODUCTOS!$A$6:$B$35,2,FALSE),"")</f>
      </c>
      <c r="C564" s="386"/>
      <c r="D564" s="386"/>
      <c r="E564" s="386"/>
      <c r="F564" s="33" t="n">
        <f>IFERROR(VLOOKUP(C564,'MATERIAS PRIMAS'!$B$5:$F$104,5,FALSE),0)</f>
        <v>0</v>
      </c>
      <c r="G564" s="33">
        <f t="shared" si="1"/>
        <v>0</v>
      </c>
      <c r="H564" s="36" t="n">
        <f>IFERROR(D564/VLOOKUP(A564,PRODUCTOS!$A$6:$D$35,4,FALSE),0)</f>
        <v>0</v>
      </c>
      <c r="I564" s="386"/>
      <c r="J564" s="3"/>
      <c r="K564" s="3"/>
      <c r="L564" s="3"/>
      <c r="M564" s="3"/>
    </row>
    <row r="565" ht="15.75" customHeight="1">
      <c r="A565" s="386"/>
      <c r="B565" s="26" t="str">
        <f>IFERROR(VLOOKUP(A565,PRODUCTOS!$A$6:$B$35,2,FALSE),"")</f>
      </c>
      <c r="C565" s="386"/>
      <c r="D565" s="386"/>
      <c r="E565" s="386"/>
      <c r="F565" s="33" t="n">
        <f>IFERROR(VLOOKUP(C565,'MATERIAS PRIMAS'!$B$5:$F$104,5,FALSE),0)</f>
        <v>0</v>
      </c>
      <c r="G565" s="33">
        <f t="shared" si="1"/>
        <v>0</v>
      </c>
      <c r="H565" s="36" t="n">
        <f>IFERROR(D565/VLOOKUP(A565,PRODUCTOS!$A$6:$D$35,4,FALSE),0)</f>
        <v>0</v>
      </c>
      <c r="I565" s="386"/>
      <c r="J565" s="3"/>
      <c r="K565" s="3"/>
      <c r="L565" s="3"/>
      <c r="M565" s="3"/>
    </row>
    <row r="566" ht="15.75" customHeight="1">
      <c r="A566" s="386"/>
      <c r="B566" s="26" t="str">
        <f>IFERROR(VLOOKUP(A566,PRODUCTOS!$A$6:$B$35,2,FALSE),"")</f>
      </c>
      <c r="C566" s="386"/>
      <c r="D566" s="386"/>
      <c r="E566" s="386"/>
      <c r="F566" s="33" t="n">
        <f>IFERROR(VLOOKUP(C566,'MATERIAS PRIMAS'!$B$5:$F$104,5,FALSE),0)</f>
        <v>0</v>
      </c>
      <c r="G566" s="33">
        <f t="shared" si="1"/>
        <v>0</v>
      </c>
      <c r="H566" s="36" t="n">
        <f>IFERROR(D566/VLOOKUP(A566,PRODUCTOS!$A$6:$D$35,4,FALSE),0)</f>
        <v>0</v>
      </c>
      <c r="I566" s="386"/>
      <c r="J566" s="3"/>
      <c r="K566" s="3"/>
      <c r="L566" s="3"/>
      <c r="M566" s="3"/>
    </row>
    <row r="567" ht="15.75" customHeight="1">
      <c r="A567" s="386"/>
      <c r="B567" s="26" t="str">
        <f>IFERROR(VLOOKUP(A567,PRODUCTOS!$A$6:$B$35,2,FALSE),"")</f>
      </c>
      <c r="C567" s="386"/>
      <c r="D567" s="386"/>
      <c r="E567" s="386"/>
      <c r="F567" s="33" t="n">
        <f>IFERROR(VLOOKUP(C567,'MATERIAS PRIMAS'!$B$5:$F$104,5,FALSE),0)</f>
        <v>0</v>
      </c>
      <c r="G567" s="33">
        <f t="shared" si="1"/>
        <v>0</v>
      </c>
      <c r="H567" s="36" t="n">
        <f>IFERROR(D567/VLOOKUP(A567,PRODUCTOS!$A$6:$D$35,4,FALSE),0)</f>
        <v>0</v>
      </c>
      <c r="I567" s="386"/>
      <c r="J567" s="3"/>
      <c r="K567" s="3"/>
      <c r="L567" s="3"/>
      <c r="M567" s="3"/>
    </row>
    <row r="568" ht="15.75" customHeight="1">
      <c r="A568" s="386"/>
      <c r="B568" s="26" t="str">
        <f>IFERROR(VLOOKUP(A568,PRODUCTOS!$A$6:$B$35,2,FALSE),"")</f>
      </c>
      <c r="C568" s="386"/>
      <c r="D568" s="386"/>
      <c r="E568" s="386"/>
      <c r="F568" s="33" t="n">
        <f>IFERROR(VLOOKUP(C568,'MATERIAS PRIMAS'!$B$5:$F$104,5,FALSE),0)</f>
        <v>0</v>
      </c>
      <c r="G568" s="33">
        <f t="shared" si="1"/>
        <v>0</v>
      </c>
      <c r="H568" s="36" t="n">
        <f>IFERROR(D568/VLOOKUP(A568,PRODUCTOS!$A$6:$D$35,4,FALSE),0)</f>
        <v>0</v>
      </c>
      <c r="I568" s="386"/>
      <c r="J568" s="3"/>
      <c r="K568" s="3"/>
      <c r="L568" s="3"/>
      <c r="M568" s="3"/>
    </row>
    <row r="569" ht="15.75" customHeight="1">
      <c r="A569" s="386"/>
      <c r="B569" s="26" t="str">
        <f>IFERROR(VLOOKUP(A569,PRODUCTOS!$A$6:$B$35,2,FALSE),"")</f>
      </c>
      <c r="C569" s="386"/>
      <c r="D569" s="386"/>
      <c r="E569" s="386"/>
      <c r="F569" s="33" t="n">
        <f>IFERROR(VLOOKUP(C569,'MATERIAS PRIMAS'!$B$5:$F$104,5,FALSE),0)</f>
        <v>0</v>
      </c>
      <c r="G569" s="33">
        <f t="shared" si="1"/>
        <v>0</v>
      </c>
      <c r="H569" s="36" t="n">
        <f>IFERROR(D569/VLOOKUP(A569,PRODUCTOS!$A$6:$D$35,4,FALSE),0)</f>
        <v>0</v>
      </c>
      <c r="I569" s="386"/>
      <c r="J569" s="3"/>
      <c r="K569" s="3"/>
      <c r="L569" s="3"/>
      <c r="M569" s="3"/>
    </row>
    <row r="570" ht="15.75" customHeight="1">
      <c r="A570" s="386"/>
      <c r="B570" s="26" t="str">
        <f>IFERROR(VLOOKUP(A570,PRODUCTOS!$A$6:$B$35,2,FALSE),"")</f>
      </c>
      <c r="C570" s="386"/>
      <c r="D570" s="386"/>
      <c r="E570" s="386"/>
      <c r="F570" s="33" t="n">
        <f>IFERROR(VLOOKUP(C570,'MATERIAS PRIMAS'!$B$5:$F$104,5,FALSE),0)</f>
        <v>0</v>
      </c>
      <c r="G570" s="33">
        <f t="shared" si="1"/>
        <v>0</v>
      </c>
      <c r="H570" s="36" t="n">
        <f>IFERROR(D570/VLOOKUP(A570,PRODUCTOS!$A$6:$D$35,4,FALSE),0)</f>
        <v>0</v>
      </c>
      <c r="I570" s="386"/>
      <c r="J570" s="3"/>
      <c r="K570" s="3"/>
      <c r="L570" s="3"/>
      <c r="M570" s="3"/>
    </row>
    <row r="571" ht="15.75" customHeight="1">
      <c r="A571" s="386"/>
      <c r="B571" s="26" t="str">
        <f>IFERROR(VLOOKUP(A571,PRODUCTOS!$A$6:$B$35,2,FALSE),"")</f>
      </c>
      <c r="C571" s="386"/>
      <c r="D571" s="386"/>
      <c r="E571" s="386"/>
      <c r="F571" s="33" t="n">
        <f>IFERROR(VLOOKUP(C571,'MATERIAS PRIMAS'!$B$5:$F$104,5,FALSE),0)</f>
        <v>0</v>
      </c>
      <c r="G571" s="33">
        <f t="shared" si="1"/>
        <v>0</v>
      </c>
      <c r="H571" s="36" t="n">
        <f>IFERROR(D571/VLOOKUP(A571,PRODUCTOS!$A$6:$D$35,4,FALSE),0)</f>
        <v>0</v>
      </c>
      <c r="I571" s="386"/>
      <c r="J571" s="3"/>
      <c r="K571" s="3"/>
      <c r="L571" s="3"/>
      <c r="M571" s="3"/>
    </row>
    <row r="572" ht="15.75" customHeight="1">
      <c r="A572" s="386"/>
      <c r="B572" s="26" t="str">
        <f>IFERROR(VLOOKUP(A572,PRODUCTOS!$A$6:$B$35,2,FALSE),"")</f>
      </c>
      <c r="C572" s="386"/>
      <c r="D572" s="386"/>
      <c r="E572" s="386"/>
      <c r="F572" s="33" t="n">
        <f>IFERROR(VLOOKUP(C572,'MATERIAS PRIMAS'!$B$5:$F$104,5,FALSE),0)</f>
        <v>0</v>
      </c>
      <c r="G572" s="33">
        <f t="shared" si="1"/>
        <v>0</v>
      </c>
      <c r="H572" s="36" t="n">
        <f>IFERROR(D572/VLOOKUP(A572,PRODUCTOS!$A$6:$D$35,4,FALSE),0)</f>
        <v>0</v>
      </c>
      <c r="I572" s="386"/>
      <c r="J572" s="3"/>
      <c r="K572" s="3"/>
      <c r="L572" s="3"/>
      <c r="M572" s="3"/>
    </row>
    <row r="573" ht="15.75" customHeight="1">
      <c r="A573" s="386"/>
      <c r="B573" s="26" t="str">
        <f>IFERROR(VLOOKUP(A573,PRODUCTOS!$A$6:$B$35,2,FALSE),"")</f>
      </c>
      <c r="C573" s="386"/>
      <c r="D573" s="386"/>
      <c r="E573" s="386"/>
      <c r="F573" s="33" t="n">
        <f>IFERROR(VLOOKUP(C573,'MATERIAS PRIMAS'!$B$5:$F$104,5,FALSE),0)</f>
        <v>0</v>
      </c>
      <c r="G573" s="33">
        <f t="shared" si="1"/>
        <v>0</v>
      </c>
      <c r="H573" s="36" t="n">
        <f>IFERROR(D573/VLOOKUP(A573,PRODUCTOS!$A$6:$D$35,4,FALSE),0)</f>
        <v>0</v>
      </c>
      <c r="I573" s="386"/>
      <c r="J573" s="3"/>
      <c r="K573" s="3"/>
      <c r="L573" s="3"/>
      <c r="M573" s="3"/>
    </row>
    <row r="574" ht="15.75" customHeight="1">
      <c r="A574" s="386"/>
      <c r="B574" s="26" t="str">
        <f>IFERROR(VLOOKUP(A574,PRODUCTOS!$A$6:$B$35,2,FALSE),"")</f>
      </c>
      <c r="C574" s="386"/>
      <c r="D574" s="386"/>
      <c r="E574" s="386"/>
      <c r="F574" s="33" t="n">
        <f>IFERROR(VLOOKUP(C574,'MATERIAS PRIMAS'!$B$5:$F$104,5,FALSE),0)</f>
        <v>0</v>
      </c>
      <c r="G574" s="33">
        <f t="shared" si="1"/>
        <v>0</v>
      </c>
      <c r="H574" s="36" t="n">
        <f>IFERROR(D574/VLOOKUP(A574,PRODUCTOS!$A$6:$D$35,4,FALSE),0)</f>
        <v>0</v>
      </c>
      <c r="I574" s="386"/>
      <c r="J574" s="3"/>
      <c r="K574" s="3"/>
      <c r="L574" s="3"/>
      <c r="M574" s="3"/>
    </row>
    <row r="575" ht="15.75" customHeight="1">
      <c r="A575" s="386"/>
      <c r="B575" s="26" t="str">
        <f>IFERROR(VLOOKUP(A575,PRODUCTOS!$A$6:$B$35,2,FALSE),"")</f>
      </c>
      <c r="C575" s="386"/>
      <c r="D575" s="386"/>
      <c r="E575" s="386"/>
      <c r="F575" s="33" t="n">
        <f>IFERROR(VLOOKUP(C575,'MATERIAS PRIMAS'!$B$5:$F$104,5,FALSE),0)</f>
        <v>0</v>
      </c>
      <c r="G575" s="33">
        <f t="shared" si="1"/>
        <v>0</v>
      </c>
      <c r="H575" s="36" t="n">
        <f>IFERROR(D575/VLOOKUP(A575,PRODUCTOS!$A$6:$D$35,4,FALSE),0)</f>
        <v>0</v>
      </c>
      <c r="I575" s="386"/>
      <c r="J575" s="3"/>
      <c r="K575" s="3"/>
      <c r="L575" s="3"/>
      <c r="M575" s="3"/>
    </row>
    <row r="576" ht="15.75" customHeight="1">
      <c r="A576" s="386"/>
      <c r="B576" s="26" t="str">
        <f>IFERROR(VLOOKUP(A576,PRODUCTOS!$A$6:$B$35,2,FALSE),"")</f>
      </c>
      <c r="C576" s="386"/>
      <c r="D576" s="386"/>
      <c r="E576" s="386"/>
      <c r="F576" s="33" t="n">
        <f>IFERROR(VLOOKUP(C576,'MATERIAS PRIMAS'!$B$5:$F$104,5,FALSE),0)</f>
        <v>0</v>
      </c>
      <c r="G576" s="33">
        <f t="shared" si="1"/>
        <v>0</v>
      </c>
      <c r="H576" s="36" t="n">
        <f>IFERROR(D576/VLOOKUP(A576,PRODUCTOS!$A$6:$D$35,4,FALSE),0)</f>
        <v>0</v>
      </c>
      <c r="I576" s="386"/>
      <c r="J576" s="3"/>
      <c r="K576" s="3"/>
      <c r="L576" s="3"/>
      <c r="M576" s="3"/>
    </row>
    <row r="577" ht="15.75" customHeight="1">
      <c r="A577" s="386"/>
      <c r="B577" s="26" t="str">
        <f>IFERROR(VLOOKUP(A577,PRODUCTOS!$A$6:$B$35,2,FALSE),"")</f>
      </c>
      <c r="C577" s="386"/>
      <c r="D577" s="386"/>
      <c r="E577" s="386"/>
      <c r="F577" s="33" t="n">
        <f>IFERROR(VLOOKUP(C577,'MATERIAS PRIMAS'!$B$5:$F$104,5,FALSE),0)</f>
        <v>0</v>
      </c>
      <c r="G577" s="33">
        <f t="shared" si="1"/>
        <v>0</v>
      </c>
      <c r="H577" s="36" t="n">
        <f>IFERROR(D577/VLOOKUP(A577,PRODUCTOS!$A$6:$D$35,4,FALSE),0)</f>
        <v>0</v>
      </c>
      <c r="I577" s="386"/>
      <c r="J577" s="3"/>
      <c r="K577" s="3"/>
      <c r="L577" s="3"/>
      <c r="M577" s="3"/>
    </row>
    <row r="578" ht="15.75" customHeight="1">
      <c r="A578" s="386"/>
      <c r="B578" s="26" t="str">
        <f>IFERROR(VLOOKUP(A578,PRODUCTOS!$A$6:$B$35,2,FALSE),"")</f>
      </c>
      <c r="C578" s="386"/>
      <c r="D578" s="386"/>
      <c r="E578" s="386"/>
      <c r="F578" s="33" t="n">
        <f>IFERROR(VLOOKUP(C578,'MATERIAS PRIMAS'!$B$5:$F$104,5,FALSE),0)</f>
        <v>0</v>
      </c>
      <c r="G578" s="33">
        <f t="shared" si="1"/>
        <v>0</v>
      </c>
      <c r="H578" s="36" t="n">
        <f>IFERROR(D578/VLOOKUP(A578,PRODUCTOS!$A$6:$D$35,4,FALSE),0)</f>
        <v>0</v>
      </c>
      <c r="I578" s="386"/>
      <c r="J578" s="3"/>
      <c r="K578" s="3"/>
      <c r="L578" s="3"/>
      <c r="M578" s="3"/>
    </row>
    <row r="579" ht="15.75" customHeight="1">
      <c r="A579" s="386"/>
      <c r="B579" s="26" t="str">
        <f>IFERROR(VLOOKUP(A579,PRODUCTOS!$A$6:$B$35,2,FALSE),"")</f>
      </c>
      <c r="C579" s="386"/>
      <c r="D579" s="386"/>
      <c r="E579" s="386"/>
      <c r="F579" s="33" t="n">
        <f>IFERROR(VLOOKUP(C579,'MATERIAS PRIMAS'!$B$5:$F$104,5,FALSE),0)</f>
        <v>0</v>
      </c>
      <c r="G579" s="33">
        <f t="shared" si="1"/>
        <v>0</v>
      </c>
      <c r="H579" s="36" t="n">
        <f>IFERROR(D579/VLOOKUP(A579,PRODUCTOS!$A$6:$D$35,4,FALSE),0)</f>
        <v>0</v>
      </c>
      <c r="I579" s="386"/>
      <c r="J579" s="3"/>
      <c r="K579" s="3"/>
      <c r="L579" s="3"/>
      <c r="M579" s="3"/>
    </row>
    <row r="580" ht="15.75" customHeight="1">
      <c r="A580" s="386"/>
      <c r="B580" s="26" t="str">
        <f>IFERROR(VLOOKUP(A580,PRODUCTOS!$A$6:$B$35,2,FALSE),"")</f>
      </c>
      <c r="C580" s="386"/>
      <c r="D580" s="386"/>
      <c r="E580" s="386"/>
      <c r="F580" s="33" t="n">
        <f>IFERROR(VLOOKUP(C580,'MATERIAS PRIMAS'!$B$5:$F$104,5,FALSE),0)</f>
        <v>0</v>
      </c>
      <c r="G580" s="33">
        <f t="shared" si="1"/>
        <v>0</v>
      </c>
      <c r="H580" s="36" t="n">
        <f>IFERROR(D580/VLOOKUP(A580,PRODUCTOS!$A$6:$D$35,4,FALSE),0)</f>
        <v>0</v>
      </c>
      <c r="I580" s="386"/>
      <c r="J580" s="3"/>
      <c r="K580" s="3"/>
      <c r="L580" s="3"/>
      <c r="M580" s="3"/>
    </row>
    <row r="581" ht="15.75" customHeight="1">
      <c r="A581" s="386"/>
      <c r="B581" s="26" t="str">
        <f>IFERROR(VLOOKUP(A581,PRODUCTOS!$A$6:$B$35,2,FALSE),"")</f>
      </c>
      <c r="C581" s="386"/>
      <c r="D581" s="386"/>
      <c r="E581" s="386"/>
      <c r="F581" s="33" t="n">
        <f>IFERROR(VLOOKUP(C581,'MATERIAS PRIMAS'!$B$5:$F$104,5,FALSE),0)</f>
        <v>0</v>
      </c>
      <c r="G581" s="33">
        <f t="shared" si="1"/>
        <v>0</v>
      </c>
      <c r="H581" s="36" t="n">
        <f>IFERROR(D581/VLOOKUP(A581,PRODUCTOS!$A$6:$D$35,4,FALSE),0)</f>
        <v>0</v>
      </c>
      <c r="I581" s="386"/>
      <c r="J581" s="3"/>
      <c r="K581" s="3"/>
      <c r="L581" s="3"/>
      <c r="M581" s="3"/>
    </row>
    <row r="582" ht="15.75" customHeight="1">
      <c r="A582" s="386"/>
      <c r="B582" s="26" t="str">
        <f>IFERROR(VLOOKUP(A582,PRODUCTOS!$A$6:$B$35,2,FALSE),"")</f>
      </c>
      <c r="C582" s="386"/>
      <c r="D582" s="386"/>
      <c r="E582" s="386"/>
      <c r="F582" s="33" t="n">
        <f>IFERROR(VLOOKUP(C582,'MATERIAS PRIMAS'!$B$5:$F$104,5,FALSE),0)</f>
        <v>0</v>
      </c>
      <c r="G582" s="33">
        <f t="shared" si="1"/>
        <v>0</v>
      </c>
      <c r="H582" s="36" t="n">
        <f>IFERROR(D582/VLOOKUP(A582,PRODUCTOS!$A$6:$D$35,4,FALSE),0)</f>
        <v>0</v>
      </c>
      <c r="I582" s="386"/>
      <c r="J582" s="3"/>
      <c r="K582" s="3"/>
      <c r="L582" s="3"/>
      <c r="M582" s="3"/>
    </row>
    <row r="583" ht="15.75" customHeight="1">
      <c r="A583" s="386"/>
      <c r="B583" s="26" t="str">
        <f>IFERROR(VLOOKUP(A583,PRODUCTOS!$A$6:$B$35,2,FALSE),"")</f>
      </c>
      <c r="C583" s="386"/>
      <c r="D583" s="386"/>
      <c r="E583" s="386"/>
      <c r="F583" s="33" t="n">
        <f>IFERROR(VLOOKUP(C583,'MATERIAS PRIMAS'!$B$5:$F$104,5,FALSE),0)</f>
        <v>0</v>
      </c>
      <c r="G583" s="33">
        <f t="shared" si="1"/>
        <v>0</v>
      </c>
      <c r="H583" s="36" t="n">
        <f>IFERROR(D583/VLOOKUP(A583,PRODUCTOS!$A$6:$D$35,4,FALSE),0)</f>
        <v>0</v>
      </c>
      <c r="I583" s="386"/>
      <c r="J583" s="3"/>
      <c r="K583" s="3"/>
      <c r="L583" s="3"/>
      <c r="M583" s="3"/>
    </row>
    <row r="584" ht="15.75" customHeight="1">
      <c r="A584" s="386"/>
      <c r="B584" s="26" t="str">
        <f>IFERROR(VLOOKUP(A584,PRODUCTOS!$A$6:$B$35,2,FALSE),"")</f>
      </c>
      <c r="C584" s="386"/>
      <c r="D584" s="386"/>
      <c r="E584" s="386"/>
      <c r="F584" s="33" t="n">
        <f>IFERROR(VLOOKUP(C584,'MATERIAS PRIMAS'!$B$5:$F$104,5,FALSE),0)</f>
        <v>0</v>
      </c>
      <c r="G584" s="33">
        <f t="shared" si="1"/>
        <v>0</v>
      </c>
      <c r="H584" s="36" t="n">
        <f>IFERROR(D584/VLOOKUP(A584,PRODUCTOS!$A$6:$D$35,4,FALSE),0)</f>
        <v>0</v>
      </c>
      <c r="I584" s="386"/>
      <c r="J584" s="3"/>
      <c r="K584" s="3"/>
      <c r="L584" s="3"/>
      <c r="M584" s="3"/>
    </row>
    <row r="585" ht="15.75" customHeight="1">
      <c r="A585" s="386"/>
      <c r="B585" s="26" t="str">
        <f>IFERROR(VLOOKUP(A585,PRODUCTOS!$A$6:$B$35,2,FALSE),"")</f>
      </c>
      <c r="C585" s="386"/>
      <c r="D585" s="386"/>
      <c r="E585" s="386"/>
      <c r="F585" s="33" t="n">
        <f>IFERROR(VLOOKUP(C585,'MATERIAS PRIMAS'!$B$5:$F$104,5,FALSE),0)</f>
        <v>0</v>
      </c>
      <c r="G585" s="33">
        <f t="shared" si="1"/>
        <v>0</v>
      </c>
      <c r="H585" s="36" t="n">
        <f>IFERROR(D585/VLOOKUP(A585,PRODUCTOS!$A$6:$D$35,4,FALSE),0)</f>
        <v>0</v>
      </c>
      <c r="I585" s="386"/>
      <c r="J585" s="3"/>
      <c r="K585" s="3"/>
      <c r="L585" s="3"/>
      <c r="M585" s="3"/>
    </row>
    <row r="586" ht="15.75" customHeight="1">
      <c r="A586" s="386"/>
      <c r="B586" s="26" t="str">
        <f>IFERROR(VLOOKUP(A586,PRODUCTOS!$A$6:$B$35,2,FALSE),"")</f>
      </c>
      <c r="C586" s="386"/>
      <c r="D586" s="386"/>
      <c r="E586" s="386"/>
      <c r="F586" s="33" t="n">
        <f>IFERROR(VLOOKUP(C586,'MATERIAS PRIMAS'!$B$5:$F$104,5,FALSE),0)</f>
        <v>0</v>
      </c>
      <c r="G586" s="33">
        <f t="shared" si="1"/>
        <v>0</v>
      </c>
      <c r="H586" s="36" t="n">
        <f>IFERROR(D586/VLOOKUP(A586,PRODUCTOS!$A$6:$D$35,4,FALSE),0)</f>
        <v>0</v>
      </c>
      <c r="I586" s="386"/>
      <c r="J586" s="3"/>
      <c r="K586" s="3"/>
      <c r="L586" s="3"/>
      <c r="M586" s="3"/>
    </row>
    <row r="587" ht="15.75" customHeight="1">
      <c r="A587" s="386"/>
      <c r="B587" s="26" t="str">
        <f>IFERROR(VLOOKUP(A587,PRODUCTOS!$A$6:$B$35,2,FALSE),"")</f>
      </c>
      <c r="C587" s="386"/>
      <c r="D587" s="386"/>
      <c r="E587" s="386"/>
      <c r="F587" s="33" t="n">
        <f>IFERROR(VLOOKUP(C587,'MATERIAS PRIMAS'!$B$5:$F$104,5,FALSE),0)</f>
        <v>0</v>
      </c>
      <c r="G587" s="33">
        <f t="shared" si="1"/>
        <v>0</v>
      </c>
      <c r="H587" s="36" t="n">
        <f>IFERROR(D587/VLOOKUP(A587,PRODUCTOS!$A$6:$D$35,4,FALSE),0)</f>
        <v>0</v>
      </c>
      <c r="I587" s="386"/>
      <c r="J587" s="3"/>
      <c r="K587" s="3"/>
      <c r="L587" s="3"/>
      <c r="M587" s="3"/>
    </row>
    <row r="588" ht="15.75" customHeight="1">
      <c r="A588" s="386"/>
      <c r="B588" s="26" t="str">
        <f>IFERROR(VLOOKUP(A588,PRODUCTOS!$A$6:$B$35,2,FALSE),"")</f>
      </c>
      <c r="C588" s="386"/>
      <c r="D588" s="386"/>
      <c r="E588" s="386"/>
      <c r="F588" s="33" t="n">
        <f>IFERROR(VLOOKUP(C588,'MATERIAS PRIMAS'!$B$5:$F$104,5,FALSE),0)</f>
        <v>0</v>
      </c>
      <c r="G588" s="33">
        <f t="shared" si="1"/>
        <v>0</v>
      </c>
      <c r="H588" s="36" t="n">
        <f>IFERROR(D588/VLOOKUP(A588,PRODUCTOS!$A$6:$D$35,4,FALSE),0)</f>
        <v>0</v>
      </c>
      <c r="I588" s="386"/>
      <c r="J588" s="3"/>
      <c r="K588" s="3"/>
      <c r="L588" s="3"/>
      <c r="M588" s="3"/>
    </row>
    <row r="589" ht="15.75" customHeight="1">
      <c r="A589" s="386"/>
      <c r="B589" s="26" t="str">
        <f>IFERROR(VLOOKUP(A589,PRODUCTOS!$A$6:$B$35,2,FALSE),"")</f>
      </c>
      <c r="C589" s="386"/>
      <c r="D589" s="386"/>
      <c r="E589" s="386"/>
      <c r="F589" s="33" t="n">
        <f>IFERROR(VLOOKUP(C589,'MATERIAS PRIMAS'!$B$5:$F$104,5,FALSE),0)</f>
        <v>0</v>
      </c>
      <c r="G589" s="33">
        <f t="shared" si="1"/>
        <v>0</v>
      </c>
      <c r="H589" s="36" t="n">
        <f>IFERROR(D589/VLOOKUP(A589,PRODUCTOS!$A$6:$D$35,4,FALSE),0)</f>
        <v>0</v>
      </c>
      <c r="I589" s="386"/>
      <c r="J589" s="3"/>
      <c r="K589" s="3"/>
      <c r="L589" s="3"/>
      <c r="M589" s="3"/>
    </row>
    <row r="590" ht="15.75" customHeight="1">
      <c r="A590" s="386"/>
      <c r="B590" s="26" t="str">
        <f>IFERROR(VLOOKUP(A590,PRODUCTOS!$A$6:$B$35,2,FALSE),"")</f>
      </c>
      <c r="C590" s="386"/>
      <c r="D590" s="386"/>
      <c r="E590" s="386"/>
      <c r="F590" s="33" t="n">
        <f>IFERROR(VLOOKUP(C590,'MATERIAS PRIMAS'!$B$5:$F$104,5,FALSE),0)</f>
        <v>0</v>
      </c>
      <c r="G590" s="33">
        <f t="shared" si="1"/>
        <v>0</v>
      </c>
      <c r="H590" s="36" t="n">
        <f>IFERROR(D590/VLOOKUP(A590,PRODUCTOS!$A$6:$D$35,4,FALSE),0)</f>
        <v>0</v>
      </c>
      <c r="I590" s="386"/>
      <c r="J590" s="3"/>
      <c r="K590" s="3"/>
      <c r="L590" s="3"/>
      <c r="M590" s="3"/>
    </row>
    <row r="591" ht="15.75" customHeight="1">
      <c r="A591" s="386"/>
      <c r="B591" s="26" t="str">
        <f>IFERROR(VLOOKUP(A591,PRODUCTOS!$A$6:$B$35,2,FALSE),"")</f>
      </c>
      <c r="C591" s="386"/>
      <c r="D591" s="386"/>
      <c r="E591" s="386"/>
      <c r="F591" s="33" t="n">
        <f>IFERROR(VLOOKUP(C591,'MATERIAS PRIMAS'!$B$5:$F$104,5,FALSE),0)</f>
        <v>0</v>
      </c>
      <c r="G591" s="33">
        <f t="shared" si="1"/>
        <v>0</v>
      </c>
      <c r="H591" s="36" t="n">
        <f>IFERROR(D591/VLOOKUP(A591,PRODUCTOS!$A$6:$D$35,4,FALSE),0)</f>
        <v>0</v>
      </c>
      <c r="I591" s="386"/>
      <c r="J591" s="3"/>
      <c r="K591" s="3"/>
      <c r="L591" s="3"/>
      <c r="M591" s="3"/>
    </row>
    <row r="592" ht="15.75" customHeight="1">
      <c r="A592" s="386"/>
      <c r="B592" s="26" t="str">
        <f>IFERROR(VLOOKUP(A592,PRODUCTOS!$A$6:$B$35,2,FALSE),"")</f>
      </c>
      <c r="C592" s="386"/>
      <c r="D592" s="386"/>
      <c r="E592" s="386"/>
      <c r="F592" s="33" t="n">
        <f>IFERROR(VLOOKUP(C592,'MATERIAS PRIMAS'!$B$5:$F$104,5,FALSE),0)</f>
        <v>0</v>
      </c>
      <c r="G592" s="33">
        <f t="shared" si="1"/>
        <v>0</v>
      </c>
      <c r="H592" s="36" t="n">
        <f>IFERROR(D592/VLOOKUP(A592,PRODUCTOS!$A$6:$D$35,4,FALSE),0)</f>
        <v>0</v>
      </c>
      <c r="I592" s="386"/>
      <c r="J592" s="3"/>
      <c r="K592" s="3"/>
      <c r="L592" s="3"/>
      <c r="M592" s="3"/>
    </row>
    <row r="593" ht="15.75" customHeight="1">
      <c r="A593" s="386"/>
      <c r="B593" s="26" t="str">
        <f>IFERROR(VLOOKUP(A593,PRODUCTOS!$A$6:$B$35,2,FALSE),"")</f>
      </c>
      <c r="C593" s="386"/>
      <c r="D593" s="386"/>
      <c r="E593" s="386"/>
      <c r="F593" s="33" t="n">
        <f>IFERROR(VLOOKUP(C593,'MATERIAS PRIMAS'!$B$5:$F$104,5,FALSE),0)</f>
        <v>0</v>
      </c>
      <c r="G593" s="33">
        <f t="shared" si="1"/>
        <v>0</v>
      </c>
      <c r="H593" s="36" t="n">
        <f>IFERROR(D593/VLOOKUP(A593,PRODUCTOS!$A$6:$D$35,4,FALSE),0)</f>
        <v>0</v>
      </c>
      <c r="I593" s="386"/>
      <c r="J593" s="3"/>
      <c r="K593" s="3"/>
      <c r="L593" s="3"/>
      <c r="M593" s="3"/>
    </row>
    <row r="594" ht="15.75" customHeight="1">
      <c r="A594" s="386"/>
      <c r="B594" s="26" t="str">
        <f>IFERROR(VLOOKUP(A594,PRODUCTOS!$A$6:$B$35,2,FALSE),"")</f>
      </c>
      <c r="C594" s="386"/>
      <c r="D594" s="386"/>
      <c r="E594" s="386"/>
      <c r="F594" s="33" t="n">
        <f>IFERROR(VLOOKUP(C594,'MATERIAS PRIMAS'!$B$5:$F$104,5,FALSE),0)</f>
        <v>0</v>
      </c>
      <c r="G594" s="33">
        <f t="shared" si="1"/>
        <v>0</v>
      </c>
      <c r="H594" s="36" t="n">
        <f>IFERROR(D594/VLOOKUP(A594,PRODUCTOS!$A$6:$D$35,4,FALSE),0)</f>
        <v>0</v>
      </c>
      <c r="I594" s="386"/>
      <c r="J594" s="3"/>
      <c r="K594" s="3"/>
      <c r="L594" s="3"/>
      <c r="M594" s="3"/>
    </row>
    <row r="595" ht="15.75" customHeight="1">
      <c r="A595" s="386"/>
      <c r="B595" s="26" t="str">
        <f>IFERROR(VLOOKUP(A595,PRODUCTOS!$A$6:$B$35,2,FALSE),"")</f>
      </c>
      <c r="C595" s="386"/>
      <c r="D595" s="386"/>
      <c r="E595" s="386"/>
      <c r="F595" s="33" t="n">
        <f>IFERROR(VLOOKUP(C595,'MATERIAS PRIMAS'!$B$5:$F$104,5,FALSE),0)</f>
        <v>0</v>
      </c>
      <c r="G595" s="33">
        <f t="shared" si="1"/>
        <v>0</v>
      </c>
      <c r="H595" s="36" t="n">
        <f>IFERROR(D595/VLOOKUP(A595,PRODUCTOS!$A$6:$D$35,4,FALSE),0)</f>
        <v>0</v>
      </c>
      <c r="I595" s="386"/>
      <c r="J595" s="3"/>
      <c r="K595" s="3"/>
      <c r="L595" s="3"/>
      <c r="M595" s="3"/>
    </row>
    <row r="596" ht="15.75" customHeight="1">
      <c r="A596" s="386"/>
      <c r="B596" s="26" t="str">
        <f>IFERROR(VLOOKUP(A596,PRODUCTOS!$A$6:$B$35,2,FALSE),"")</f>
      </c>
      <c r="C596" s="386"/>
      <c r="D596" s="386"/>
      <c r="E596" s="386"/>
      <c r="F596" s="33" t="n">
        <f>IFERROR(VLOOKUP(C596,'MATERIAS PRIMAS'!$B$5:$F$104,5,FALSE),0)</f>
        <v>0</v>
      </c>
      <c r="G596" s="33">
        <f t="shared" si="1"/>
        <v>0</v>
      </c>
      <c r="H596" s="36" t="n">
        <f>IFERROR(D596/VLOOKUP(A596,PRODUCTOS!$A$6:$D$35,4,FALSE),0)</f>
        <v>0</v>
      </c>
      <c r="I596" s="386"/>
      <c r="J596" s="3"/>
      <c r="K596" s="3"/>
      <c r="L596" s="3"/>
      <c r="M596" s="3"/>
    </row>
    <row r="597" ht="15.75" customHeight="1">
      <c r="A597" s="386"/>
      <c r="B597" s="26" t="str">
        <f>IFERROR(VLOOKUP(A597,PRODUCTOS!$A$6:$B$35,2,FALSE),"")</f>
      </c>
      <c r="C597" s="386"/>
      <c r="D597" s="386"/>
      <c r="E597" s="386"/>
      <c r="F597" s="33" t="n">
        <f>IFERROR(VLOOKUP(C597,'MATERIAS PRIMAS'!$B$5:$F$104,5,FALSE),0)</f>
        <v>0</v>
      </c>
      <c r="G597" s="33">
        <f t="shared" si="1"/>
        <v>0</v>
      </c>
      <c r="H597" s="36" t="n">
        <f>IFERROR(D597/VLOOKUP(A597,PRODUCTOS!$A$6:$D$35,4,FALSE),0)</f>
        <v>0</v>
      </c>
      <c r="I597" s="386"/>
      <c r="J597" s="3"/>
      <c r="K597" s="3"/>
      <c r="L597" s="3"/>
      <c r="M597" s="3"/>
    </row>
    <row r="598" ht="15.75" customHeight="1">
      <c r="A598" s="386"/>
      <c r="B598" s="26" t="str">
        <f>IFERROR(VLOOKUP(A598,PRODUCTOS!$A$6:$B$35,2,FALSE),"")</f>
      </c>
      <c r="C598" s="386"/>
      <c r="D598" s="386"/>
      <c r="E598" s="386"/>
      <c r="F598" s="33" t="n">
        <f>IFERROR(VLOOKUP(C598,'MATERIAS PRIMAS'!$B$5:$F$104,5,FALSE),0)</f>
        <v>0</v>
      </c>
      <c r="G598" s="33">
        <f t="shared" si="1"/>
        <v>0</v>
      </c>
      <c r="H598" s="36" t="n">
        <f>IFERROR(D598/VLOOKUP(A598,PRODUCTOS!$A$6:$D$35,4,FALSE),0)</f>
        <v>0</v>
      </c>
      <c r="I598" s="386"/>
      <c r="J598" s="3"/>
      <c r="K598" s="3"/>
      <c r="L598" s="3"/>
      <c r="M598" s="3"/>
    </row>
    <row r="599" ht="15.75" customHeight="1">
      <c r="A599" s="386"/>
      <c r="B599" s="26" t="str">
        <f>IFERROR(VLOOKUP(A599,PRODUCTOS!$A$6:$B$35,2,FALSE),"")</f>
      </c>
      <c r="C599" s="386"/>
      <c r="D599" s="386"/>
      <c r="E599" s="386"/>
      <c r="F599" s="33" t="n">
        <f>IFERROR(VLOOKUP(C599,'MATERIAS PRIMAS'!$B$5:$F$104,5,FALSE),0)</f>
        <v>0</v>
      </c>
      <c r="G599" s="33">
        <f t="shared" si="1"/>
        <v>0</v>
      </c>
      <c r="H599" s="36" t="n">
        <f>IFERROR(D599/VLOOKUP(A599,PRODUCTOS!$A$6:$D$35,4,FALSE),0)</f>
        <v>0</v>
      </c>
      <c r="I599" s="386"/>
      <c r="J599" s="3"/>
      <c r="K599" s="3"/>
      <c r="L599" s="3"/>
      <c r="M599" s="3"/>
    </row>
    <row r="600" ht="15.75" customHeight="1">
      <c r="A600" s="386"/>
      <c r="B600" s="26" t="str">
        <f>IFERROR(VLOOKUP(A600,PRODUCTOS!$A$6:$B$35,2,FALSE),"")</f>
      </c>
      <c r="C600" s="386"/>
      <c r="D600" s="386"/>
      <c r="E600" s="386"/>
      <c r="F600" s="33" t="n">
        <f>IFERROR(VLOOKUP(C600,'MATERIAS PRIMAS'!$B$5:$F$104,5,FALSE),0)</f>
        <v>0</v>
      </c>
      <c r="G600" s="33">
        <f t="shared" si="1"/>
        <v>0</v>
      </c>
      <c r="H600" s="36" t="n">
        <f>IFERROR(D600/VLOOKUP(A600,PRODUCTOS!$A$6:$D$35,4,FALSE),0)</f>
        <v>0</v>
      </c>
      <c r="I600" s="386"/>
      <c r="J600" s="3"/>
      <c r="K600" s="3"/>
      <c r="L600" s="3"/>
      <c r="M600" s="3"/>
    </row>
    <row r="601" ht="15.75" customHeight="1">
      <c r="A601" s="386"/>
      <c r="B601" s="26" t="str">
        <f>IFERROR(VLOOKUP(A601,PRODUCTOS!$A$6:$B$35,2,FALSE),"")</f>
      </c>
      <c r="C601" s="386"/>
      <c r="D601" s="386"/>
      <c r="E601" s="386"/>
      <c r="F601" s="33" t="n">
        <f>IFERROR(VLOOKUP(C601,'MATERIAS PRIMAS'!$B$5:$F$104,5,FALSE),0)</f>
        <v>0</v>
      </c>
      <c r="G601" s="33">
        <f t="shared" si="1"/>
        <v>0</v>
      </c>
      <c r="H601" s="36" t="n">
        <f>IFERROR(D601/VLOOKUP(A601,PRODUCTOS!$A$6:$D$35,4,FALSE),0)</f>
        <v>0</v>
      </c>
      <c r="I601" s="386"/>
      <c r="J601" s="3"/>
      <c r="K601" s="3"/>
      <c r="L601" s="3"/>
      <c r="M601" s="3"/>
    </row>
    <row r="602" ht="15.75" customHeight="1">
      <c r="A602" s="386"/>
      <c r="B602" s="26" t="str">
        <f>IFERROR(VLOOKUP(A602,PRODUCTOS!$A$6:$B$35,2,FALSE),"")</f>
      </c>
      <c r="C602" s="386"/>
      <c r="D602" s="386"/>
      <c r="E602" s="386"/>
      <c r="F602" s="33" t="n">
        <f>IFERROR(VLOOKUP(C602,'MATERIAS PRIMAS'!$B$5:$F$104,5,FALSE),0)</f>
        <v>0</v>
      </c>
      <c r="G602" s="33">
        <f t="shared" si="1"/>
        <v>0</v>
      </c>
      <c r="H602" s="36" t="n">
        <f>IFERROR(D602/VLOOKUP(A602,PRODUCTOS!$A$6:$D$35,4,FALSE),0)</f>
        <v>0</v>
      </c>
      <c r="I602" s="386"/>
      <c r="J602" s="3"/>
      <c r="K602" s="3"/>
      <c r="L602" s="3"/>
      <c r="M602" s="3"/>
    </row>
    <row r="603" ht="15.75" customHeight="1">
      <c r="A603" s="386"/>
      <c r="B603" s="26" t="str">
        <f>IFERROR(VLOOKUP(A603,PRODUCTOS!$A$6:$B$35,2,FALSE),"")</f>
      </c>
      <c r="C603" s="386"/>
      <c r="D603" s="386"/>
      <c r="E603" s="386"/>
      <c r="F603" s="33" t="n">
        <f>IFERROR(VLOOKUP(C603,'MATERIAS PRIMAS'!$B$5:$F$104,5,FALSE),0)</f>
        <v>0</v>
      </c>
      <c r="G603" s="33">
        <f t="shared" si="1"/>
        <v>0</v>
      </c>
      <c r="H603" s="36" t="n">
        <f>IFERROR(D603/VLOOKUP(A603,PRODUCTOS!$A$6:$D$35,4,FALSE),0)</f>
        <v>0</v>
      </c>
      <c r="I603" s="386"/>
      <c r="J603" s="3"/>
      <c r="K603" s="3"/>
      <c r="L603" s="3"/>
      <c r="M603" s="3"/>
    </row>
    <row r="604" ht="15.75" customHeight="1">
      <c r="A604" s="386"/>
      <c r="B604" s="26" t="str">
        <f>IFERROR(VLOOKUP(A604,PRODUCTOS!$A$6:$B$35,2,FALSE),"")</f>
      </c>
      <c r="C604" s="386"/>
      <c r="D604" s="386"/>
      <c r="E604" s="386"/>
      <c r="F604" s="33" t="n">
        <f>IFERROR(VLOOKUP(C604,'MATERIAS PRIMAS'!$B$5:$F$104,5,FALSE),0)</f>
        <v>0</v>
      </c>
      <c r="G604" s="33">
        <f t="shared" si="1"/>
        <v>0</v>
      </c>
      <c r="H604" s="36" t="n">
        <f>IFERROR(D604/VLOOKUP(A604,PRODUCTOS!$A$6:$D$35,4,FALSE),0)</f>
        <v>0</v>
      </c>
      <c r="I604" s="386"/>
      <c r="J604" s="3"/>
      <c r="K604" s="3"/>
      <c r="L604" s="3"/>
      <c r="M604" s="3"/>
    </row>
    <row r="605" ht="15.75" customHeight="1">
      <c r="A605" s="386"/>
      <c r="B605" s="26" t="str">
        <f>IFERROR(VLOOKUP(A605,PRODUCTOS!$A$6:$B$35,2,FALSE),"")</f>
      </c>
      <c r="C605" s="386"/>
      <c r="D605" s="386"/>
      <c r="E605" s="386"/>
      <c r="F605" s="33" t="n">
        <f>IFERROR(VLOOKUP(C605,'MATERIAS PRIMAS'!$B$5:$F$104,5,FALSE),0)</f>
        <v>0</v>
      </c>
      <c r="G605" s="33">
        <f t="shared" si="1"/>
        <v>0</v>
      </c>
      <c r="H605" s="36" t="n">
        <f>IFERROR(D605/VLOOKUP(A605,PRODUCTOS!$A$6:$D$35,4,FALSE),0)</f>
        <v>0</v>
      </c>
      <c r="I605" s="386"/>
      <c r="J605" s="3"/>
      <c r="K605" s="3"/>
      <c r="L605" s="3"/>
      <c r="M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</row>
  </sheetData>
  <sheetProtection sheet="1" objects="1" scenarios="1" selectLockedCells="1" selectUnlockedCells="0"/>
  <mergeCells>
    <mergeCell ref="A1:I2"/>
    <mergeCell ref="A3:I3"/>
  </mergeCells>
  <dataValidations count="2">
    <dataValidation type="list" allowBlank="1" sqref="C6:C605">
      <formula1>'MATERIAS PRIMAS'!$B$5:$B$104</formula1>
    </dataValidation>
    <dataValidation type="list" allowBlank="1" sqref="A6:A605">
      <formula1>PRODUCTOS!$A$6:$A$35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ColWidth="12.630000114440918" defaultRowHeight="15"/>
  <cols>
    <col min="1" max="1" width="15" customWidth="1"/>
    <col min="2" max="2" width="28" customWidth="1"/>
    <col min="3" max="3" width="22" customWidth="1"/>
    <col min="4" max="4" width="26" customWidth="1"/>
    <col min="5" max="5" width="20" customWidth="1"/>
    <col min="6" max="7" width="18" customWidth="1"/>
    <col min="8" max="8" width="19" customWidth="1"/>
    <col min="9" max="9" width="28" customWidth="1"/>
    <col min="10" max="10" width="16" customWidth="1"/>
    <col min="11" max="11" width="22" customWidth="1"/>
    <col min="12" max="26" width="8.630000114440918" customWidth="1"/>
  </cols>
  <sheetData>
    <row r="1">
      <c r="A1" s="42" t="s">
        <v>179</v>
      </c>
      <c r="J1" s="3"/>
      <c r="K1" s="3"/>
      <c r="L1" s="3"/>
      <c r="M1" s="3"/>
    </row>
    <row r="2">
      <c r="J2" s="3"/>
      <c r="K2" s="3"/>
      <c r="L2" s="3"/>
      <c r="M2" s="3"/>
    </row>
    <row r="3">
      <c r="A3" s="4" t="s">
        <v>180</v>
      </c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8" t="s">
        <v>172</v>
      </c>
      <c r="B5" s="8" t="s">
        <v>121</v>
      </c>
      <c r="C5" s="8" t="s">
        <v>181</v>
      </c>
      <c r="D5" s="8" t="s">
        <v>182</v>
      </c>
      <c r="E5" s="8" t="s">
        <v>183</v>
      </c>
      <c r="F5" s="8" t="s">
        <v>184</v>
      </c>
      <c r="G5" s="8" t="s">
        <v>185</v>
      </c>
      <c r="H5" s="8" t="s">
        <v>186</v>
      </c>
      <c r="I5" s="8" t="s">
        <v>187</v>
      </c>
      <c r="J5" s="43" t="s">
        <v>188</v>
      </c>
      <c r="K5" s="43" t="s">
        <v>189</v>
      </c>
      <c r="L5" s="3"/>
      <c r="M5" s="3"/>
    </row>
    <row r="6">
      <c r="A6" s="395" t="s">
        <v>135</v>
      </c>
      <c r="B6" s="44" t="str">
        <f>IFERROR(VLOOKUP(A6,PRODUCTOS!$A$6:$B$35,2,FALSE),"")</f>
        <v>Jabón de Café </v>
      </c>
      <c r="C6" s="395" t="s">
        <v>190</v>
      </c>
      <c r="D6" s="388" t="s">
        <v>191</v>
      </c>
      <c r="E6" s="394">
        <v>12.0</v>
      </c>
      <c r="F6" s="419">
        <v>24.0</v>
      </c>
      <c r="G6" s="24" t="n">
        <f t="shared" ref="G6:G245" si="1">IF(H6="Sí",IF(AND(C6="Comisiones",J6&gt;0),K6,IFERROR(E6*F6,0)),0)</f>
        <v>288</v>
      </c>
      <c r="H6" s="395" t="s">
        <v>192</v>
      </c>
      <c r="I6" s="386"/>
      <c r="J6" s="420"/>
      <c r="K6" s="47" t="n">
        <f>IF(AND(C6="Comisiones",H6="Sí"),IFERROR(J6*VLOOKUP(A6,PRODUCTOS!$A$6:$G$35,7,FALSE)*VLOOKUP(A6,PRODUCTOS!$A$6:$C$35,3,FALSE),0),0)</f>
        <v>0</v>
      </c>
      <c r="L6" s="3"/>
      <c r="M6" s="3"/>
    </row>
    <row r="7">
      <c r="A7" s="395" t="s">
        <v>135</v>
      </c>
      <c r="B7" s="44" t="str">
        <f>IFERROR(VLOOKUP(A7,PRODUCTOS!$A$6:$B$35,2,FALSE),"")</f>
        <v>Jabón de Café </v>
      </c>
      <c r="C7" s="395" t="s">
        <v>193</v>
      </c>
      <c r="D7" s="388" t="s">
        <v>194</v>
      </c>
      <c r="E7" s="394">
        <v>60.0</v>
      </c>
      <c r="F7" s="419">
        <v>48.0</v>
      </c>
      <c r="G7" s="24">
        <f t="shared" si="1"/>
        <v>2880</v>
      </c>
      <c r="H7" s="395" t="s">
        <v>192</v>
      </c>
      <c r="I7" s="386"/>
      <c r="J7" s="420"/>
      <c r="K7" s="47" t="n">
        <f>IF(AND(C7="Comisiones",H7="Sí"),IFERROR(J7*VLOOKUP(A7,PRODUCTOS!$A$6:$G$35,7,FALSE)*VLOOKUP(A7,PRODUCTOS!$A$6:$C$35,3,FALSE),0),0)</f>
        <v>0</v>
      </c>
      <c r="L7" s="3"/>
      <c r="M7" s="3"/>
    </row>
    <row r="8">
      <c r="A8" s="395" t="s">
        <v>135</v>
      </c>
      <c r="B8" s="44" t="str">
        <f>IFERROR(VLOOKUP(A8,PRODUCTOS!$A$6:$B$35,2,FALSE),"")</f>
        <v>Jabón de Café </v>
      </c>
      <c r="C8" s="395" t="s">
        <v>195</v>
      </c>
      <c r="D8" s="388" t="s">
        <v>196</v>
      </c>
      <c r="E8" s="394">
        <v>100.0</v>
      </c>
      <c r="F8" s="401">
        <v>12.0</v>
      </c>
      <c r="G8" s="24">
        <f t="shared" si="1"/>
        <v>1200</v>
      </c>
      <c r="H8" s="395" t="s">
        <v>192</v>
      </c>
      <c r="I8" s="386"/>
      <c r="J8" s="420"/>
      <c r="K8" s="47" t="n">
        <f>IF(AND(C8="Comisiones",H8="Sí"),IFERROR(J8*VLOOKUP(A8,PRODUCTOS!$A$6:$G$35,7,FALSE)*VLOOKUP(A8,PRODUCTOS!$A$6:$C$35,3,FALSE),0),0)</f>
        <v>0</v>
      </c>
      <c r="L8" s="3"/>
      <c r="M8" s="3"/>
    </row>
    <row r="9">
      <c r="A9" s="395" t="s">
        <v>135</v>
      </c>
      <c r="B9" s="44" t="str">
        <f>IFERROR(VLOOKUP(A9,PRODUCTOS!$A$6:$B$35,2,FALSE),"")</f>
        <v>Jabón de Café </v>
      </c>
      <c r="C9" s="395" t="s">
        <v>197</v>
      </c>
      <c r="D9" s="388" t="s">
        <v>198</v>
      </c>
      <c r="E9" s="394">
        <v>12000.0</v>
      </c>
      <c r="F9" s="401">
        <v>1.0</v>
      </c>
      <c r="G9" s="24">
        <f t="shared" si="1"/>
        <v>12000</v>
      </c>
      <c r="H9" s="395" t="s">
        <v>192</v>
      </c>
      <c r="I9" s="386"/>
      <c r="J9" s="420"/>
      <c r="K9" s="47" t="n">
        <f>IF(AND(C9="Comisiones",H9="Sí"),IFERROR(J9*VLOOKUP(A9,PRODUCTOS!$A$6:$G$35,7,FALSE)*VLOOKUP(A9,PRODUCTOS!$A$6:$C$35,3,FALSE),0),0)</f>
        <v>0</v>
      </c>
      <c r="L9" s="3"/>
      <c r="M9" s="3"/>
    </row>
    <row r="10">
      <c r="A10" s="395" t="s">
        <v>135</v>
      </c>
      <c r="B10" s="44" t="str">
        <f>IFERROR(VLOOKUP(A10,PRODUCTOS!$A$6:$B$35,2,FALSE),"")</f>
        <v>Jabón de Café </v>
      </c>
      <c r="C10" s="395" t="s">
        <v>199</v>
      </c>
      <c r="D10" s="388" t="s">
        <v>200</v>
      </c>
      <c r="E10" s="394">
        <v>5000.0</v>
      </c>
      <c r="F10" s="401">
        <v>1.0</v>
      </c>
      <c r="G10" s="24">
        <f t="shared" si="1"/>
        <v>5000</v>
      </c>
      <c r="H10" s="395" t="s">
        <v>192</v>
      </c>
      <c r="I10" s="386"/>
      <c r="J10" s="420"/>
      <c r="K10" s="47" t="n">
        <f>IF(AND(C10="Comisiones",H10="Sí"),IFERROR(J10*VLOOKUP(A10,PRODUCTOS!$A$6:$G$35,7,FALSE)*VLOOKUP(A10,PRODUCTOS!$A$6:$C$35,3,FALSE),0),0)</f>
        <v>0</v>
      </c>
      <c r="L10" s="3"/>
      <c r="M10" s="3"/>
    </row>
    <row r="11">
      <c r="A11" s="395" t="s">
        <v>138</v>
      </c>
      <c r="B11" s="44" t="str">
        <f>IFERROR(VLOOKUP(A11,PRODUCTOS!$A$6:$B$35,2,FALSE),"")</f>
        <v>Jabón de Miel y Avena </v>
      </c>
      <c r="C11" s="395" t="s">
        <v>190</v>
      </c>
      <c r="D11" s="388" t="s">
        <v>191</v>
      </c>
      <c r="E11" s="394">
        <v>12.0</v>
      </c>
      <c r="F11" s="419">
        <v>24.0</v>
      </c>
      <c r="G11" s="24">
        <f t="shared" si="1"/>
        <v>288</v>
      </c>
      <c r="H11" s="395" t="s">
        <v>192</v>
      </c>
      <c r="I11" s="386"/>
      <c r="J11" s="420"/>
      <c r="K11" s="47" t="n">
        <f>IF(AND(C11="Comisiones",H11="Sí"),IFERROR(J11*VLOOKUP(A11,PRODUCTOS!$A$6:$G$35,7,FALSE)*VLOOKUP(A11,PRODUCTOS!$A$6:$C$35,3,FALSE),0),0)</f>
        <v>0</v>
      </c>
      <c r="L11" s="3"/>
      <c r="M11" s="3"/>
    </row>
    <row r="12">
      <c r="A12" s="395" t="s">
        <v>138</v>
      </c>
      <c r="B12" s="44" t="str">
        <f>IFERROR(VLOOKUP(A12,PRODUCTOS!$A$6:$B$35,2,FALSE),"")</f>
        <v>Jabón de Miel y Avena </v>
      </c>
      <c r="C12" s="395" t="s">
        <v>193</v>
      </c>
      <c r="D12" s="388" t="s">
        <v>194</v>
      </c>
      <c r="E12" s="394">
        <v>60.0</v>
      </c>
      <c r="F12" s="419">
        <v>48.0</v>
      </c>
      <c r="G12" s="24">
        <f t="shared" si="1"/>
        <v>2880</v>
      </c>
      <c r="H12" s="395" t="s">
        <v>192</v>
      </c>
      <c r="I12" s="386"/>
      <c r="J12" s="420"/>
      <c r="K12" s="47" t="n">
        <f>IF(AND(C12="Comisiones",H12="Sí"),IFERROR(J12*VLOOKUP(A12,PRODUCTOS!$A$6:$G$35,7,FALSE)*VLOOKUP(A12,PRODUCTOS!$A$6:$C$35,3,FALSE),0),0)</f>
        <v>0</v>
      </c>
      <c r="L12" s="3"/>
      <c r="M12" s="3"/>
    </row>
    <row r="13">
      <c r="A13" s="395" t="s">
        <v>138</v>
      </c>
      <c r="B13" s="44" t="str">
        <f>IFERROR(VLOOKUP(A13,PRODUCTOS!$A$6:$B$35,2,FALSE),"")</f>
        <v>Jabón de Miel y Avena </v>
      </c>
      <c r="C13" s="395" t="s">
        <v>195</v>
      </c>
      <c r="D13" s="388" t="s">
        <v>196</v>
      </c>
      <c r="E13" s="394">
        <v>100.0</v>
      </c>
      <c r="F13" s="401">
        <v>12.0</v>
      </c>
      <c r="G13" s="24">
        <f t="shared" si="1"/>
        <v>1200</v>
      </c>
      <c r="H13" s="395" t="s">
        <v>192</v>
      </c>
      <c r="I13" s="386"/>
      <c r="J13" s="420"/>
      <c r="K13" s="47" t="n">
        <f>IF(AND(C13="Comisiones",H13="Sí"),IFERROR(J13*VLOOKUP(A13,PRODUCTOS!$A$6:$G$35,7,FALSE)*VLOOKUP(A13,PRODUCTOS!$A$6:$C$35,3,FALSE),0),0)</f>
        <v>0</v>
      </c>
      <c r="L13" s="3"/>
      <c r="M13" s="3"/>
    </row>
    <row r="14">
      <c r="A14" s="395" t="s">
        <v>138</v>
      </c>
      <c r="B14" s="44" t="str">
        <f>IFERROR(VLOOKUP(A14,PRODUCTOS!$A$6:$B$35,2,FALSE),"")</f>
        <v>Jabón de Miel y Avena </v>
      </c>
      <c r="C14" s="395" t="s">
        <v>197</v>
      </c>
      <c r="D14" s="388" t="s">
        <v>198</v>
      </c>
      <c r="E14" s="394">
        <v>12000.0</v>
      </c>
      <c r="F14" s="401">
        <v>1.0</v>
      </c>
      <c r="G14" s="24">
        <f t="shared" si="1"/>
        <v>12000</v>
      </c>
      <c r="H14" s="395" t="s">
        <v>192</v>
      </c>
      <c r="I14" s="386"/>
      <c r="J14" s="420"/>
      <c r="K14" s="47" t="n">
        <f>IF(AND(C14="Comisiones",H14="Sí"),IFERROR(J14*VLOOKUP(A14,PRODUCTOS!$A$6:$G$35,7,FALSE)*VLOOKUP(A14,PRODUCTOS!$A$6:$C$35,3,FALSE),0),0)</f>
        <v>0</v>
      </c>
      <c r="L14" s="3"/>
      <c r="M14" s="3"/>
    </row>
    <row r="15">
      <c r="A15" s="395" t="s">
        <v>138</v>
      </c>
      <c r="B15" s="44" t="str">
        <f>IFERROR(VLOOKUP(A15,PRODUCTOS!$A$6:$B$35,2,FALSE),"")</f>
        <v>Jabón de Miel y Avena </v>
      </c>
      <c r="C15" s="395" t="s">
        <v>199</v>
      </c>
      <c r="D15" s="388" t="s">
        <v>200</v>
      </c>
      <c r="E15" s="394">
        <v>5000.0</v>
      </c>
      <c r="F15" s="401">
        <v>1.0</v>
      </c>
      <c r="G15" s="24">
        <f t="shared" si="1"/>
        <v>5000</v>
      </c>
      <c r="H15" s="395" t="s">
        <v>192</v>
      </c>
      <c r="I15" s="386"/>
      <c r="J15" s="420"/>
      <c r="K15" s="47" t="n">
        <f>IF(AND(C15="Comisiones",H15="Sí"),IFERROR(J15*VLOOKUP(A15,PRODUCTOS!$A$6:$G$35,7,FALSE)*VLOOKUP(A15,PRODUCTOS!$A$6:$C$35,3,FALSE),0),0)</f>
        <v>0</v>
      </c>
      <c r="L15" s="3"/>
      <c r="M15" s="3"/>
    </row>
    <row r="16">
      <c r="A16" s="395" t="s">
        <v>140</v>
      </c>
      <c r="B16" s="44" t="str">
        <f>IFERROR(VLOOKUP(A16,PRODUCTOS!$A$6:$B$35,2,FALSE),"")</f>
        <v>Jabón de Mentol </v>
      </c>
      <c r="C16" s="395" t="s">
        <v>190</v>
      </c>
      <c r="D16" s="388" t="s">
        <v>191</v>
      </c>
      <c r="E16" s="394">
        <v>12.0</v>
      </c>
      <c r="F16" s="419">
        <v>12.0</v>
      </c>
      <c r="G16" s="24">
        <f t="shared" si="1"/>
        <v>144</v>
      </c>
      <c r="H16" s="395" t="s">
        <v>192</v>
      </c>
      <c r="I16" s="386"/>
      <c r="J16" s="420"/>
      <c r="K16" s="47" t="n">
        <f>IF(AND(C16="Comisiones",H16="Sí"),IFERROR(J16*VLOOKUP(A16,PRODUCTOS!$A$6:$G$35,7,FALSE)*VLOOKUP(A16,PRODUCTOS!$A$6:$C$35,3,FALSE),0),0)</f>
        <v>0</v>
      </c>
      <c r="L16" s="3"/>
      <c r="M16" s="3"/>
    </row>
    <row r="17">
      <c r="A17" s="395" t="s">
        <v>140</v>
      </c>
      <c r="B17" s="44" t="str">
        <f>IFERROR(VLOOKUP(A17,PRODUCTOS!$A$6:$B$35,2,FALSE),"")</f>
        <v>Jabón de Mentol </v>
      </c>
      <c r="C17" s="395" t="s">
        <v>193</v>
      </c>
      <c r="D17" s="388" t="s">
        <v>194</v>
      </c>
      <c r="E17" s="394">
        <v>60.0</v>
      </c>
      <c r="F17" s="401">
        <v>24.0</v>
      </c>
      <c r="G17" s="24">
        <f t="shared" si="1"/>
        <v>1440</v>
      </c>
      <c r="H17" s="395" t="s">
        <v>192</v>
      </c>
      <c r="I17" s="386"/>
      <c r="J17" s="420"/>
      <c r="K17" s="47" t="n">
        <f>IF(AND(C17="Comisiones",H17="Sí"),IFERROR(J17*VLOOKUP(A17,PRODUCTOS!$A$6:$G$35,7,FALSE)*VLOOKUP(A17,PRODUCTOS!$A$6:$C$35,3,FALSE),0),0)</f>
        <v>0</v>
      </c>
      <c r="L17" s="3"/>
      <c r="M17" s="3"/>
    </row>
    <row r="18">
      <c r="A18" s="395" t="s">
        <v>140</v>
      </c>
      <c r="B18" s="44" t="str">
        <f>IFERROR(VLOOKUP(A18,PRODUCTOS!$A$6:$B$35,2,FALSE),"")</f>
        <v>Jabón de Mentol </v>
      </c>
      <c r="C18" s="395" t="s">
        <v>195</v>
      </c>
      <c r="D18" s="388" t="s">
        <v>196</v>
      </c>
      <c r="E18" s="394">
        <v>100.0</v>
      </c>
      <c r="F18" s="401">
        <v>12.0</v>
      </c>
      <c r="G18" s="24">
        <f t="shared" si="1"/>
        <v>1200</v>
      </c>
      <c r="H18" s="395" t="s">
        <v>192</v>
      </c>
      <c r="I18" s="386"/>
      <c r="J18" s="420"/>
      <c r="K18" s="47" t="n">
        <f>IF(AND(C18="Comisiones",H18="Sí"),IFERROR(J18*VLOOKUP(A18,PRODUCTOS!$A$6:$G$35,7,FALSE)*VLOOKUP(A18,PRODUCTOS!$A$6:$C$35,3,FALSE),0),0)</f>
        <v>0</v>
      </c>
      <c r="L18" s="3"/>
      <c r="M18" s="3"/>
    </row>
    <row r="19">
      <c r="A19" s="395" t="s">
        <v>140</v>
      </c>
      <c r="B19" s="44" t="str">
        <f>IFERROR(VLOOKUP(A19,PRODUCTOS!$A$6:$B$35,2,FALSE),"")</f>
        <v>Jabón de Mentol </v>
      </c>
      <c r="C19" s="395" t="s">
        <v>197</v>
      </c>
      <c r="D19" s="388" t="s">
        <v>198</v>
      </c>
      <c r="E19" s="394">
        <v>12000.0</v>
      </c>
      <c r="F19" s="401">
        <v>1.0</v>
      </c>
      <c r="G19" s="24">
        <f t="shared" si="1"/>
        <v>12000</v>
      </c>
      <c r="H19" s="395" t="s">
        <v>192</v>
      </c>
      <c r="I19" s="386"/>
      <c r="J19" s="420"/>
      <c r="K19" s="47" t="n">
        <f>IF(AND(C19="Comisiones",H19="Sí"),IFERROR(J19*VLOOKUP(A19,PRODUCTOS!$A$6:$G$35,7,FALSE)*VLOOKUP(A19,PRODUCTOS!$A$6:$C$35,3,FALSE),0),0)</f>
        <v>0</v>
      </c>
      <c r="L19" s="3"/>
      <c r="M19" s="3"/>
    </row>
    <row r="20">
      <c r="A20" s="395" t="s">
        <v>140</v>
      </c>
      <c r="B20" s="44" t="str">
        <f>IFERROR(VLOOKUP(A20,PRODUCTOS!$A$6:$B$35,2,FALSE),"")</f>
        <v>Jabón de Mentol </v>
      </c>
      <c r="C20" s="395" t="s">
        <v>199</v>
      </c>
      <c r="D20" s="388" t="s">
        <v>200</v>
      </c>
      <c r="E20" s="394">
        <v>5000.0</v>
      </c>
      <c r="F20" s="401">
        <v>1.0</v>
      </c>
      <c r="G20" s="24">
        <f t="shared" si="1"/>
        <v>5000</v>
      </c>
      <c r="H20" s="395" t="s">
        <v>192</v>
      </c>
      <c r="I20" s="386"/>
      <c r="J20" s="420"/>
      <c r="K20" s="47" t="n">
        <f>IF(AND(C20="Comisiones",H20="Sí"),IFERROR(J20*VLOOKUP(A20,PRODUCTOS!$A$6:$G$35,7,FALSE)*VLOOKUP(A20,PRODUCTOS!$A$6:$C$35,3,FALSE),0),0)</f>
        <v>0</v>
      </c>
      <c r="L20" s="3"/>
      <c r="M20" s="3"/>
    </row>
    <row r="21" ht="15.75" customHeight="1">
      <c r="A21" s="395" t="s">
        <v>142</v>
      </c>
      <c r="B21" s="44" t="str">
        <f>IFERROR(VLOOKUP(A21,PRODUCTOS!$A$6:$B$35,2,FALSE),"")</f>
        <v>Jabón de Almendras</v>
      </c>
      <c r="C21" s="395" t="s">
        <v>190</v>
      </c>
      <c r="D21" s="388" t="s">
        <v>191</v>
      </c>
      <c r="E21" s="394">
        <v>12.0</v>
      </c>
      <c r="F21" s="386"/>
      <c r="G21" s="24">
        <f t="shared" si="1"/>
        <v>0</v>
      </c>
      <c r="H21" s="386"/>
      <c r="I21" s="386"/>
      <c r="J21" s="420"/>
      <c r="K21" s="47" t="n">
        <f>IF(AND(C21="Comisiones",H21="Sí"),IFERROR(J21*VLOOKUP(A21,PRODUCTOS!$A$6:$G$35,7,FALSE)*VLOOKUP(A21,PRODUCTOS!$A$6:$C$35,3,FALSE),0),0)</f>
        <v>0</v>
      </c>
      <c r="L21" s="3"/>
      <c r="M21" s="3"/>
    </row>
    <row r="22" ht="15.75" customHeight="1">
      <c r="A22" s="395" t="s">
        <v>142</v>
      </c>
      <c r="B22" s="44" t="str">
        <f>IFERROR(VLOOKUP(A22,PRODUCTOS!$A$6:$B$35,2,FALSE),"")</f>
        <v>Jabón de Almendras</v>
      </c>
      <c r="C22" s="395" t="s">
        <v>193</v>
      </c>
      <c r="D22" s="388" t="s">
        <v>194</v>
      </c>
      <c r="E22" s="394">
        <v>60.0</v>
      </c>
      <c r="F22" s="386"/>
      <c r="G22" s="24">
        <f t="shared" si="1"/>
        <v>0</v>
      </c>
      <c r="H22" s="386"/>
      <c r="I22" s="386"/>
      <c r="J22" s="420"/>
      <c r="K22" s="47" t="n">
        <f>IF(AND(C22="Comisiones",H22="Sí"),IFERROR(J22*VLOOKUP(A22,PRODUCTOS!$A$6:$G$35,7,FALSE)*VLOOKUP(A22,PRODUCTOS!$A$6:$C$35,3,FALSE),0),0)</f>
        <v>0</v>
      </c>
      <c r="L22" s="3"/>
      <c r="M22" s="3"/>
    </row>
    <row r="23" ht="15.75" customHeight="1">
      <c r="A23" s="395" t="s">
        <v>142</v>
      </c>
      <c r="B23" s="44" t="str">
        <f>IFERROR(VLOOKUP(A23,PRODUCTOS!$A$6:$B$35,2,FALSE),"")</f>
        <v>Jabón de Almendras</v>
      </c>
      <c r="C23" s="395" t="s">
        <v>195</v>
      </c>
      <c r="D23" s="388" t="s">
        <v>196</v>
      </c>
      <c r="E23" s="394">
        <v>100.0</v>
      </c>
      <c r="F23" s="386"/>
      <c r="G23" s="24">
        <f t="shared" si="1"/>
        <v>0</v>
      </c>
      <c r="H23" s="386"/>
      <c r="I23" s="386"/>
      <c r="J23" s="420"/>
      <c r="K23" s="47" t="n">
        <f>IF(AND(C23="Comisiones",H23="Sí"),IFERROR(J23*VLOOKUP(A23,PRODUCTOS!$A$6:$G$35,7,FALSE)*VLOOKUP(A23,PRODUCTOS!$A$6:$C$35,3,FALSE),0),0)</f>
        <v>0</v>
      </c>
      <c r="L23" s="3"/>
      <c r="M23" s="3"/>
    </row>
    <row r="24" ht="15.75" customHeight="1">
      <c r="A24" s="395" t="s">
        <v>142</v>
      </c>
      <c r="B24" s="44" t="str">
        <f>IFERROR(VLOOKUP(A24,PRODUCTOS!$A$6:$B$35,2,FALSE),"")</f>
        <v>Jabón de Almendras</v>
      </c>
      <c r="C24" s="395" t="s">
        <v>197</v>
      </c>
      <c r="D24" s="388" t="s">
        <v>198</v>
      </c>
      <c r="E24" s="394">
        <v>12000.0</v>
      </c>
      <c r="F24" s="386"/>
      <c r="G24" s="24">
        <f t="shared" si="1"/>
        <v>0</v>
      </c>
      <c r="H24" s="386"/>
      <c r="I24" s="386"/>
      <c r="J24" s="420"/>
      <c r="K24" s="47" t="n">
        <f>IF(AND(C24="Comisiones",H24="Sí"),IFERROR(J24*VLOOKUP(A24,PRODUCTOS!$A$6:$G$35,7,FALSE)*VLOOKUP(A24,PRODUCTOS!$A$6:$C$35,3,FALSE),0),0)</f>
        <v>0</v>
      </c>
      <c r="L24" s="3"/>
      <c r="M24" s="3"/>
    </row>
    <row r="25" ht="15.75" customHeight="1">
      <c r="A25" s="395" t="s">
        <v>142</v>
      </c>
      <c r="B25" s="44" t="str">
        <f>IFERROR(VLOOKUP(A25,PRODUCTOS!$A$6:$B$35,2,FALSE),"")</f>
        <v>Jabón de Almendras</v>
      </c>
      <c r="C25" s="395" t="s">
        <v>199</v>
      </c>
      <c r="D25" s="388" t="s">
        <v>200</v>
      </c>
      <c r="E25" s="394">
        <v>5000.0</v>
      </c>
      <c r="F25" s="386"/>
      <c r="G25" s="24">
        <f t="shared" si="1"/>
        <v>0</v>
      </c>
      <c r="H25" s="386"/>
      <c r="I25" s="386"/>
      <c r="J25" s="420"/>
      <c r="K25" s="47" t="n">
        <f>IF(AND(C25="Comisiones",H25="Sí"),IFERROR(J25*VLOOKUP(A25,PRODUCTOS!$A$6:$G$35,7,FALSE)*VLOOKUP(A25,PRODUCTOS!$A$6:$C$35,3,FALSE),0),0)</f>
        <v>0</v>
      </c>
      <c r="L25" s="3"/>
      <c r="M25" s="3"/>
    </row>
    <row r="26" ht="15.75" customHeight="1">
      <c r="A26" s="386"/>
      <c r="B26" s="44" t="str">
        <f>IFERROR(VLOOKUP(A26,PRODUCTOS!$A$6:$B$35,2,FALSE),"")</f>
      </c>
      <c r="C26" s="386"/>
      <c r="D26" s="386"/>
      <c r="E26" s="412"/>
      <c r="F26" s="386"/>
      <c r="G26" s="24">
        <f t="shared" si="1"/>
        <v>0</v>
      </c>
      <c r="H26" s="386"/>
      <c r="I26" s="386"/>
      <c r="J26" s="420"/>
      <c r="K26" s="47" t="n">
        <f>IF(AND(C26="Comisiones",H26="Sí"),IFERROR(J26*VLOOKUP(A26,PRODUCTOS!$A$6:$G$35,7,FALSE)*VLOOKUP(A26,PRODUCTOS!$A$6:$C$35,3,FALSE),0),0)</f>
        <v>0</v>
      </c>
      <c r="L26" s="3"/>
      <c r="M26" s="3"/>
    </row>
    <row r="27" ht="15.75" customHeight="1">
      <c r="A27" s="386"/>
      <c r="B27" s="44" t="str">
        <f>IFERROR(VLOOKUP(A27,PRODUCTOS!$A$6:$B$35,2,FALSE),"")</f>
      </c>
      <c r="C27" s="386"/>
      <c r="D27" s="386"/>
      <c r="E27" s="412"/>
      <c r="F27" s="386"/>
      <c r="G27" s="24">
        <f t="shared" si="1"/>
        <v>0</v>
      </c>
      <c r="H27" s="386"/>
      <c r="I27" s="386"/>
      <c r="J27" s="420"/>
      <c r="K27" s="47" t="n">
        <f>IF(AND(C27="Comisiones",H27="Sí"),IFERROR(J27*VLOOKUP(A27,PRODUCTOS!$A$6:$G$35,7,FALSE)*VLOOKUP(A27,PRODUCTOS!$A$6:$C$35,3,FALSE),0),0)</f>
        <v>0</v>
      </c>
      <c r="L27" s="3"/>
      <c r="M27" s="3"/>
    </row>
    <row r="28" ht="15.75" customHeight="1">
      <c r="A28" s="386"/>
      <c r="B28" s="44" t="str">
        <f>IFERROR(VLOOKUP(A28,PRODUCTOS!$A$6:$B$35,2,FALSE),"")</f>
      </c>
      <c r="C28" s="386"/>
      <c r="D28" s="386"/>
      <c r="E28" s="412"/>
      <c r="F28" s="386"/>
      <c r="G28" s="24">
        <f t="shared" si="1"/>
        <v>0</v>
      </c>
      <c r="H28" s="386"/>
      <c r="I28" s="386"/>
      <c r="J28" s="420"/>
      <c r="K28" s="47" t="n">
        <f>IF(AND(C28="Comisiones",H28="Sí"),IFERROR(J28*VLOOKUP(A28,PRODUCTOS!$A$6:$G$35,7,FALSE)*VLOOKUP(A28,PRODUCTOS!$A$6:$C$35,3,FALSE),0),0)</f>
        <v>0</v>
      </c>
      <c r="L28" s="3"/>
      <c r="M28" s="3"/>
    </row>
    <row r="29" ht="15.75" customHeight="1">
      <c r="A29" s="386"/>
      <c r="B29" s="44" t="str">
        <f>IFERROR(VLOOKUP(A29,PRODUCTOS!$A$6:$B$35,2,FALSE),"")</f>
      </c>
      <c r="C29" s="386"/>
      <c r="D29" s="386"/>
      <c r="E29" s="412"/>
      <c r="F29" s="386"/>
      <c r="G29" s="24">
        <f t="shared" si="1"/>
        <v>0</v>
      </c>
      <c r="H29" s="386"/>
      <c r="I29" s="386"/>
      <c r="J29" s="420"/>
      <c r="K29" s="47" t="n">
        <f>IF(AND(C29="Comisiones",H29="Sí"),IFERROR(J29*VLOOKUP(A29,PRODUCTOS!$A$6:$G$35,7,FALSE)*VLOOKUP(A29,PRODUCTOS!$A$6:$C$35,3,FALSE),0),0)</f>
        <v>0</v>
      </c>
      <c r="L29" s="3"/>
      <c r="M29" s="3"/>
    </row>
    <row r="30" ht="15.75" customHeight="1">
      <c r="A30" s="386"/>
      <c r="B30" s="44" t="str">
        <f>IFERROR(VLOOKUP(A30,PRODUCTOS!$A$6:$B$35,2,FALSE),"")</f>
      </c>
      <c r="C30" s="386"/>
      <c r="D30" s="386"/>
      <c r="E30" s="412"/>
      <c r="F30" s="386"/>
      <c r="G30" s="24">
        <f t="shared" si="1"/>
        <v>0</v>
      </c>
      <c r="H30" s="386"/>
      <c r="I30" s="386"/>
      <c r="J30" s="420"/>
      <c r="K30" s="47" t="n">
        <f>IF(AND(C30="Comisiones",H30="Sí"),IFERROR(J30*VLOOKUP(A30,PRODUCTOS!$A$6:$G$35,7,FALSE)*VLOOKUP(A30,PRODUCTOS!$A$6:$C$35,3,FALSE),0),0)</f>
        <v>0</v>
      </c>
      <c r="L30" s="3"/>
      <c r="M30" s="3"/>
    </row>
    <row r="31" ht="15.75" customHeight="1">
      <c r="A31" s="386"/>
      <c r="B31" s="44" t="str">
        <f>IFERROR(VLOOKUP(A31,PRODUCTOS!$A$6:$B$35,2,FALSE),"")</f>
      </c>
      <c r="C31" s="386"/>
      <c r="D31" s="386"/>
      <c r="E31" s="412"/>
      <c r="F31" s="386"/>
      <c r="G31" s="24">
        <f t="shared" si="1"/>
        <v>0</v>
      </c>
      <c r="H31" s="386"/>
      <c r="I31" s="386"/>
      <c r="J31" s="420"/>
      <c r="K31" s="47" t="n">
        <f>IF(AND(C31="Comisiones",H31="Sí"),IFERROR(J31*VLOOKUP(A31,PRODUCTOS!$A$6:$G$35,7,FALSE)*VLOOKUP(A31,PRODUCTOS!$A$6:$C$35,3,FALSE),0),0)</f>
        <v>0</v>
      </c>
      <c r="L31" s="3"/>
      <c r="M31" s="3"/>
    </row>
    <row r="32" ht="15.75" customHeight="1">
      <c r="A32" s="386"/>
      <c r="B32" s="44" t="str">
        <f>IFERROR(VLOOKUP(A32,PRODUCTOS!$A$6:$B$35,2,FALSE),"")</f>
      </c>
      <c r="C32" s="386"/>
      <c r="D32" s="386"/>
      <c r="E32" s="412"/>
      <c r="F32" s="386"/>
      <c r="G32" s="24">
        <f t="shared" si="1"/>
        <v>0</v>
      </c>
      <c r="H32" s="386"/>
      <c r="I32" s="386"/>
      <c r="J32" s="420"/>
      <c r="K32" s="47" t="n">
        <f>IF(AND(C32="Comisiones",H32="Sí"),IFERROR(J32*VLOOKUP(A32,PRODUCTOS!$A$6:$G$35,7,FALSE)*VLOOKUP(A32,PRODUCTOS!$A$6:$C$35,3,FALSE),0),0)</f>
        <v>0</v>
      </c>
      <c r="L32" s="3"/>
      <c r="M32" s="3"/>
    </row>
    <row r="33" ht="15.75" customHeight="1">
      <c r="A33" s="386"/>
      <c r="B33" s="44" t="str">
        <f>IFERROR(VLOOKUP(A33,PRODUCTOS!$A$6:$B$35,2,FALSE),"")</f>
      </c>
      <c r="C33" s="386"/>
      <c r="D33" s="386"/>
      <c r="E33" s="412"/>
      <c r="F33" s="386"/>
      <c r="G33" s="24">
        <f t="shared" si="1"/>
        <v>0</v>
      </c>
      <c r="H33" s="386"/>
      <c r="I33" s="386"/>
      <c r="J33" s="420"/>
      <c r="K33" s="47" t="n">
        <f>IF(AND(C33="Comisiones",H33="Sí"),IFERROR(J33*VLOOKUP(A33,PRODUCTOS!$A$6:$G$35,7,FALSE)*VLOOKUP(A33,PRODUCTOS!$A$6:$C$35,3,FALSE),0),0)</f>
        <v>0</v>
      </c>
      <c r="L33" s="3"/>
      <c r="M33" s="3"/>
    </row>
    <row r="34" ht="15.75" customHeight="1">
      <c r="A34" s="386"/>
      <c r="B34" s="44" t="str">
        <f>IFERROR(VLOOKUP(A34,PRODUCTOS!$A$6:$B$35,2,FALSE),"")</f>
      </c>
      <c r="C34" s="386"/>
      <c r="D34" s="386"/>
      <c r="E34" s="412"/>
      <c r="F34" s="386"/>
      <c r="G34" s="24">
        <f t="shared" si="1"/>
        <v>0</v>
      </c>
      <c r="H34" s="386"/>
      <c r="I34" s="386"/>
      <c r="J34" s="420"/>
      <c r="K34" s="47" t="n">
        <f>IF(AND(C34="Comisiones",H34="Sí"),IFERROR(J34*VLOOKUP(A34,PRODUCTOS!$A$6:$G$35,7,FALSE)*VLOOKUP(A34,PRODUCTOS!$A$6:$C$35,3,FALSE),0),0)</f>
        <v>0</v>
      </c>
      <c r="L34" s="3"/>
      <c r="M34" s="3"/>
    </row>
    <row r="35" ht="15.75" customHeight="1">
      <c r="A35" s="386"/>
      <c r="B35" s="44" t="str">
        <f>IFERROR(VLOOKUP(A35,PRODUCTOS!$A$6:$B$35,2,FALSE),"")</f>
      </c>
      <c r="C35" s="386"/>
      <c r="D35" s="386"/>
      <c r="E35" s="412"/>
      <c r="F35" s="386"/>
      <c r="G35" s="24">
        <f t="shared" si="1"/>
        <v>0</v>
      </c>
      <c r="H35" s="386"/>
      <c r="I35" s="386"/>
      <c r="J35" s="420"/>
      <c r="K35" s="47" t="n">
        <f>IF(AND(C35="Comisiones",H35="Sí"),IFERROR(J35*VLOOKUP(A35,PRODUCTOS!$A$6:$G$35,7,FALSE)*VLOOKUP(A35,PRODUCTOS!$A$6:$C$35,3,FALSE),0),0)</f>
        <v>0</v>
      </c>
      <c r="L35" s="3"/>
      <c r="M35" s="3"/>
    </row>
    <row r="36" ht="15.75" customHeight="1">
      <c r="A36" s="386"/>
      <c r="B36" s="44" t="str">
        <f>IFERROR(VLOOKUP(A36,PRODUCTOS!$A$6:$B$35,2,FALSE),"")</f>
      </c>
      <c r="C36" s="386"/>
      <c r="D36" s="386"/>
      <c r="E36" s="412"/>
      <c r="F36" s="386"/>
      <c r="G36" s="24">
        <f t="shared" si="1"/>
        <v>0</v>
      </c>
      <c r="H36" s="386"/>
      <c r="I36" s="386"/>
      <c r="J36" s="420"/>
      <c r="K36" s="47" t="n">
        <f>IF(AND(C36="Comisiones",H36="Sí"),IFERROR(J36*VLOOKUP(A36,PRODUCTOS!$A$6:$G$35,7,FALSE)*VLOOKUP(A36,PRODUCTOS!$A$6:$C$35,3,FALSE),0),0)</f>
        <v>0</v>
      </c>
      <c r="L36" s="3"/>
      <c r="M36" s="3"/>
    </row>
    <row r="37" ht="15.75" customHeight="1">
      <c r="A37" s="386"/>
      <c r="B37" s="44" t="str">
        <f>IFERROR(VLOOKUP(A37,PRODUCTOS!$A$6:$B$35,2,FALSE),"")</f>
      </c>
      <c r="C37" s="386"/>
      <c r="D37" s="386"/>
      <c r="E37" s="412"/>
      <c r="F37" s="386"/>
      <c r="G37" s="24">
        <f t="shared" si="1"/>
        <v>0</v>
      </c>
      <c r="H37" s="386"/>
      <c r="I37" s="386"/>
      <c r="J37" s="420"/>
      <c r="K37" s="47" t="n">
        <f>IF(AND(C37="Comisiones",H37="Sí"),IFERROR(J37*VLOOKUP(A37,PRODUCTOS!$A$6:$G$35,7,FALSE)*VLOOKUP(A37,PRODUCTOS!$A$6:$C$35,3,FALSE),0),0)</f>
        <v>0</v>
      </c>
      <c r="L37" s="3"/>
      <c r="M37" s="3"/>
    </row>
    <row r="38" ht="15.75" customHeight="1">
      <c r="A38" s="386"/>
      <c r="B38" s="44" t="str">
        <f>IFERROR(VLOOKUP(A38,PRODUCTOS!$A$6:$B$35,2,FALSE),"")</f>
      </c>
      <c r="C38" s="386"/>
      <c r="D38" s="386"/>
      <c r="E38" s="412"/>
      <c r="F38" s="386"/>
      <c r="G38" s="24">
        <f t="shared" si="1"/>
        <v>0</v>
      </c>
      <c r="H38" s="386"/>
      <c r="I38" s="386"/>
      <c r="J38" s="420"/>
      <c r="K38" s="47" t="n">
        <f>IF(AND(C38="Comisiones",H38="Sí"),IFERROR(J38*VLOOKUP(A38,PRODUCTOS!$A$6:$G$35,7,FALSE)*VLOOKUP(A38,PRODUCTOS!$A$6:$C$35,3,FALSE),0),0)</f>
        <v>0</v>
      </c>
      <c r="L38" s="3"/>
      <c r="M38" s="3"/>
    </row>
    <row r="39" ht="15.75" customHeight="1">
      <c r="A39" s="386"/>
      <c r="B39" s="44" t="str">
        <f>IFERROR(VLOOKUP(A39,PRODUCTOS!$A$6:$B$35,2,FALSE),"")</f>
      </c>
      <c r="C39" s="386"/>
      <c r="D39" s="386"/>
      <c r="E39" s="412"/>
      <c r="F39" s="386"/>
      <c r="G39" s="24">
        <f t="shared" si="1"/>
        <v>0</v>
      </c>
      <c r="H39" s="386"/>
      <c r="I39" s="386"/>
      <c r="J39" s="420"/>
      <c r="K39" s="47" t="n">
        <f>IF(AND(C39="Comisiones",H39="Sí"),IFERROR(J39*VLOOKUP(A39,PRODUCTOS!$A$6:$G$35,7,FALSE)*VLOOKUP(A39,PRODUCTOS!$A$6:$C$35,3,FALSE),0),0)</f>
        <v>0</v>
      </c>
      <c r="L39" s="3"/>
      <c r="M39" s="3"/>
    </row>
    <row r="40" ht="15.75" customHeight="1">
      <c r="A40" s="386"/>
      <c r="B40" s="44" t="str">
        <f>IFERROR(VLOOKUP(A40,PRODUCTOS!$A$6:$B$35,2,FALSE),"")</f>
      </c>
      <c r="C40" s="386"/>
      <c r="D40" s="386"/>
      <c r="E40" s="412"/>
      <c r="F40" s="386"/>
      <c r="G40" s="24">
        <f t="shared" si="1"/>
        <v>0</v>
      </c>
      <c r="H40" s="386"/>
      <c r="I40" s="386"/>
      <c r="J40" s="420"/>
      <c r="K40" s="47" t="n">
        <f>IF(AND(C40="Comisiones",H40="Sí"),IFERROR(J40*VLOOKUP(A40,PRODUCTOS!$A$6:$G$35,7,FALSE)*VLOOKUP(A40,PRODUCTOS!$A$6:$C$35,3,FALSE),0),0)</f>
        <v>0</v>
      </c>
      <c r="L40" s="3"/>
      <c r="M40" s="3"/>
    </row>
    <row r="41" ht="15.75" customHeight="1">
      <c r="A41" s="386"/>
      <c r="B41" s="44" t="str">
        <f>IFERROR(VLOOKUP(A41,PRODUCTOS!$A$6:$B$35,2,FALSE),"")</f>
      </c>
      <c r="C41" s="386"/>
      <c r="D41" s="386"/>
      <c r="E41" s="412"/>
      <c r="F41" s="386"/>
      <c r="G41" s="24">
        <f t="shared" si="1"/>
        <v>0</v>
      </c>
      <c r="H41" s="386"/>
      <c r="I41" s="386"/>
      <c r="J41" s="420"/>
      <c r="K41" s="47" t="n">
        <f>IF(AND(C41="Comisiones",H41="Sí"),IFERROR(J41*VLOOKUP(A41,PRODUCTOS!$A$6:$G$35,7,FALSE)*VLOOKUP(A41,PRODUCTOS!$A$6:$C$35,3,FALSE),0),0)</f>
        <v>0</v>
      </c>
      <c r="L41" s="3"/>
      <c r="M41" s="3"/>
    </row>
    <row r="42" ht="15.75" customHeight="1">
      <c r="A42" s="386"/>
      <c r="B42" s="44" t="str">
        <f>IFERROR(VLOOKUP(A42,PRODUCTOS!$A$6:$B$35,2,FALSE),"")</f>
      </c>
      <c r="C42" s="386"/>
      <c r="D42" s="386"/>
      <c r="E42" s="412"/>
      <c r="F42" s="386"/>
      <c r="G42" s="24">
        <f t="shared" si="1"/>
        <v>0</v>
      </c>
      <c r="H42" s="386"/>
      <c r="I42" s="386"/>
      <c r="J42" s="420"/>
      <c r="K42" s="47" t="n">
        <f>IF(AND(C42="Comisiones",H42="Sí"),IFERROR(J42*VLOOKUP(A42,PRODUCTOS!$A$6:$G$35,7,FALSE)*VLOOKUP(A42,PRODUCTOS!$A$6:$C$35,3,FALSE),0),0)</f>
        <v>0</v>
      </c>
      <c r="L42" s="3"/>
      <c r="M42" s="3"/>
    </row>
    <row r="43" ht="15.75" customHeight="1">
      <c r="A43" s="386"/>
      <c r="B43" s="44" t="str">
        <f>IFERROR(VLOOKUP(A43,PRODUCTOS!$A$6:$B$35,2,FALSE),"")</f>
      </c>
      <c r="C43" s="386"/>
      <c r="D43" s="386"/>
      <c r="E43" s="412"/>
      <c r="F43" s="386"/>
      <c r="G43" s="24">
        <f t="shared" si="1"/>
        <v>0</v>
      </c>
      <c r="H43" s="386"/>
      <c r="I43" s="386"/>
      <c r="J43" s="420"/>
      <c r="K43" s="47" t="n">
        <f>IF(AND(C43="Comisiones",H43="Sí"),IFERROR(J43*VLOOKUP(A43,PRODUCTOS!$A$6:$G$35,7,FALSE)*VLOOKUP(A43,PRODUCTOS!$A$6:$C$35,3,FALSE),0),0)</f>
        <v>0</v>
      </c>
      <c r="L43" s="3"/>
      <c r="M43" s="3"/>
    </row>
    <row r="44" ht="15.75" customHeight="1">
      <c r="A44" s="386"/>
      <c r="B44" s="44" t="str">
        <f>IFERROR(VLOOKUP(A44,PRODUCTOS!$A$6:$B$35,2,FALSE),"")</f>
      </c>
      <c r="C44" s="386"/>
      <c r="D44" s="386"/>
      <c r="E44" s="412"/>
      <c r="F44" s="386"/>
      <c r="G44" s="24">
        <f t="shared" si="1"/>
        <v>0</v>
      </c>
      <c r="H44" s="386"/>
      <c r="I44" s="386"/>
      <c r="J44" s="420"/>
      <c r="K44" s="47" t="n">
        <f>IF(AND(C44="Comisiones",H44="Sí"),IFERROR(J44*VLOOKUP(A44,PRODUCTOS!$A$6:$G$35,7,FALSE)*VLOOKUP(A44,PRODUCTOS!$A$6:$C$35,3,FALSE),0),0)</f>
        <v>0</v>
      </c>
      <c r="L44" s="3"/>
      <c r="M44" s="3"/>
    </row>
    <row r="45" ht="15.75" customHeight="1">
      <c r="A45" s="386"/>
      <c r="B45" s="44" t="str">
        <f>IFERROR(VLOOKUP(A45,PRODUCTOS!$A$6:$B$35,2,FALSE),"")</f>
      </c>
      <c r="C45" s="386"/>
      <c r="D45" s="386"/>
      <c r="E45" s="412"/>
      <c r="F45" s="386"/>
      <c r="G45" s="24">
        <f t="shared" si="1"/>
        <v>0</v>
      </c>
      <c r="H45" s="386"/>
      <c r="I45" s="386"/>
      <c r="J45" s="420"/>
      <c r="K45" s="47" t="n">
        <f>IF(AND(C45="Comisiones",H45="Sí"),IFERROR(J45*VLOOKUP(A45,PRODUCTOS!$A$6:$G$35,7,FALSE)*VLOOKUP(A45,PRODUCTOS!$A$6:$C$35,3,FALSE),0),0)</f>
        <v>0</v>
      </c>
      <c r="L45" s="3"/>
      <c r="M45" s="3"/>
    </row>
    <row r="46" ht="15.75" customHeight="1">
      <c r="A46" s="386"/>
      <c r="B46" s="44" t="str">
        <f>IFERROR(VLOOKUP(A46,PRODUCTOS!$A$6:$B$35,2,FALSE),"")</f>
      </c>
      <c r="C46" s="386"/>
      <c r="D46" s="386"/>
      <c r="E46" s="412"/>
      <c r="F46" s="386"/>
      <c r="G46" s="24">
        <f t="shared" si="1"/>
        <v>0</v>
      </c>
      <c r="H46" s="386"/>
      <c r="I46" s="386"/>
      <c r="J46" s="420"/>
      <c r="K46" s="47" t="n">
        <f>IF(AND(C46="Comisiones",H46="Sí"),IFERROR(J46*VLOOKUP(A46,PRODUCTOS!$A$6:$G$35,7,FALSE)*VLOOKUP(A46,PRODUCTOS!$A$6:$C$35,3,FALSE),0),0)</f>
        <v>0</v>
      </c>
      <c r="L46" s="3"/>
      <c r="M46" s="3"/>
    </row>
    <row r="47" ht="15.75" customHeight="1">
      <c r="A47" s="386"/>
      <c r="B47" s="44" t="str">
        <f>IFERROR(VLOOKUP(A47,PRODUCTOS!$A$6:$B$35,2,FALSE),"")</f>
      </c>
      <c r="C47" s="386"/>
      <c r="D47" s="386"/>
      <c r="E47" s="412"/>
      <c r="F47" s="386"/>
      <c r="G47" s="24">
        <f t="shared" si="1"/>
        <v>0</v>
      </c>
      <c r="H47" s="386"/>
      <c r="I47" s="386"/>
      <c r="J47" s="420"/>
      <c r="K47" s="47" t="n">
        <f>IF(AND(C47="Comisiones",H47="Sí"),IFERROR(J47*VLOOKUP(A47,PRODUCTOS!$A$6:$G$35,7,FALSE)*VLOOKUP(A47,PRODUCTOS!$A$6:$C$35,3,FALSE),0),0)</f>
        <v>0</v>
      </c>
      <c r="L47" s="3"/>
      <c r="M47" s="3"/>
    </row>
    <row r="48" ht="15.75" customHeight="1">
      <c r="A48" s="386"/>
      <c r="B48" s="44" t="str">
        <f>IFERROR(VLOOKUP(A48,PRODUCTOS!$A$6:$B$35,2,FALSE),"")</f>
      </c>
      <c r="C48" s="386"/>
      <c r="D48" s="386"/>
      <c r="E48" s="412"/>
      <c r="F48" s="386"/>
      <c r="G48" s="24">
        <f t="shared" si="1"/>
        <v>0</v>
      </c>
      <c r="H48" s="386"/>
      <c r="I48" s="386"/>
      <c r="J48" s="420"/>
      <c r="K48" s="47" t="n">
        <f>IF(AND(C48="Comisiones",H48="Sí"),IFERROR(J48*VLOOKUP(A48,PRODUCTOS!$A$6:$G$35,7,FALSE)*VLOOKUP(A48,PRODUCTOS!$A$6:$C$35,3,FALSE),0),0)</f>
        <v>0</v>
      </c>
      <c r="L48" s="3"/>
      <c r="M48" s="3"/>
    </row>
    <row r="49" ht="15.75" customHeight="1">
      <c r="A49" s="386"/>
      <c r="B49" s="44" t="str">
        <f>IFERROR(VLOOKUP(A49,PRODUCTOS!$A$6:$B$35,2,FALSE),"")</f>
      </c>
      <c r="C49" s="386"/>
      <c r="D49" s="386"/>
      <c r="E49" s="412"/>
      <c r="F49" s="386"/>
      <c r="G49" s="24">
        <f t="shared" si="1"/>
        <v>0</v>
      </c>
      <c r="H49" s="386"/>
      <c r="I49" s="386"/>
      <c r="J49" s="420"/>
      <c r="K49" s="47" t="n">
        <f>IF(AND(C49="Comisiones",H49="Sí"),IFERROR(J49*VLOOKUP(A49,PRODUCTOS!$A$6:$G$35,7,FALSE)*VLOOKUP(A49,PRODUCTOS!$A$6:$C$35,3,FALSE),0),0)</f>
        <v>0</v>
      </c>
      <c r="L49" s="3"/>
      <c r="M49" s="3"/>
    </row>
    <row r="50" ht="15.75" customHeight="1">
      <c r="A50" s="386"/>
      <c r="B50" s="44" t="str">
        <f>IFERROR(VLOOKUP(A50,PRODUCTOS!$A$6:$B$35,2,FALSE),"")</f>
      </c>
      <c r="C50" s="386"/>
      <c r="D50" s="386"/>
      <c r="E50" s="412"/>
      <c r="F50" s="386"/>
      <c r="G50" s="24">
        <f t="shared" si="1"/>
        <v>0</v>
      </c>
      <c r="H50" s="386"/>
      <c r="I50" s="386"/>
      <c r="J50" s="420"/>
      <c r="K50" s="47" t="n">
        <f>IF(AND(C50="Comisiones",H50="Sí"),IFERROR(J50*VLOOKUP(A50,PRODUCTOS!$A$6:$G$35,7,FALSE)*VLOOKUP(A50,PRODUCTOS!$A$6:$C$35,3,FALSE),0),0)</f>
        <v>0</v>
      </c>
      <c r="L50" s="3"/>
      <c r="M50" s="3"/>
    </row>
    <row r="51" ht="15.75" customHeight="1">
      <c r="A51" s="386"/>
      <c r="B51" s="44" t="str">
        <f>IFERROR(VLOOKUP(A51,PRODUCTOS!$A$6:$B$35,2,FALSE),"")</f>
      </c>
      <c r="C51" s="386"/>
      <c r="D51" s="386"/>
      <c r="E51" s="412"/>
      <c r="F51" s="386"/>
      <c r="G51" s="24">
        <f t="shared" si="1"/>
        <v>0</v>
      </c>
      <c r="H51" s="386"/>
      <c r="I51" s="386"/>
      <c r="J51" s="420"/>
      <c r="K51" s="47" t="n">
        <f>IF(AND(C51="Comisiones",H51="Sí"),IFERROR(J51*VLOOKUP(A51,PRODUCTOS!$A$6:$G$35,7,FALSE)*VLOOKUP(A51,PRODUCTOS!$A$6:$C$35,3,FALSE),0),0)</f>
        <v>0</v>
      </c>
      <c r="L51" s="3"/>
      <c r="M51" s="3"/>
    </row>
    <row r="52" ht="15.75" customHeight="1">
      <c r="A52" s="386"/>
      <c r="B52" s="44" t="str">
        <f>IFERROR(VLOOKUP(A52,PRODUCTOS!$A$6:$B$35,2,FALSE),"")</f>
      </c>
      <c r="C52" s="386"/>
      <c r="D52" s="386"/>
      <c r="E52" s="412"/>
      <c r="F52" s="386"/>
      <c r="G52" s="24">
        <f t="shared" si="1"/>
        <v>0</v>
      </c>
      <c r="H52" s="386"/>
      <c r="I52" s="386"/>
      <c r="J52" s="420"/>
      <c r="K52" s="47" t="n">
        <f>IF(AND(C52="Comisiones",H52="Sí"),IFERROR(J52*VLOOKUP(A52,PRODUCTOS!$A$6:$G$35,7,FALSE)*VLOOKUP(A52,PRODUCTOS!$A$6:$C$35,3,FALSE),0),0)</f>
        <v>0</v>
      </c>
      <c r="L52" s="3"/>
      <c r="M52" s="3"/>
    </row>
    <row r="53" ht="15.75" customHeight="1">
      <c r="A53" s="386"/>
      <c r="B53" s="44" t="str">
        <f>IFERROR(VLOOKUP(A53,PRODUCTOS!$A$6:$B$35,2,FALSE),"")</f>
      </c>
      <c r="C53" s="386"/>
      <c r="D53" s="386"/>
      <c r="E53" s="412"/>
      <c r="F53" s="386"/>
      <c r="G53" s="24">
        <f t="shared" si="1"/>
        <v>0</v>
      </c>
      <c r="H53" s="386"/>
      <c r="I53" s="386"/>
      <c r="J53" s="420"/>
      <c r="K53" s="47" t="n">
        <f>IF(AND(C53="Comisiones",H53="Sí"),IFERROR(J53*VLOOKUP(A53,PRODUCTOS!$A$6:$G$35,7,FALSE)*VLOOKUP(A53,PRODUCTOS!$A$6:$C$35,3,FALSE),0),0)</f>
        <v>0</v>
      </c>
      <c r="L53" s="3"/>
      <c r="M53" s="3"/>
    </row>
    <row r="54" ht="15.75" customHeight="1">
      <c r="A54" s="386"/>
      <c r="B54" s="44" t="str">
        <f>IFERROR(VLOOKUP(A54,PRODUCTOS!$A$6:$B$35,2,FALSE),"")</f>
      </c>
      <c r="C54" s="386"/>
      <c r="D54" s="386"/>
      <c r="E54" s="412"/>
      <c r="F54" s="386"/>
      <c r="G54" s="24">
        <f t="shared" si="1"/>
        <v>0</v>
      </c>
      <c r="H54" s="386"/>
      <c r="I54" s="386"/>
      <c r="J54" s="420"/>
      <c r="K54" s="47" t="n">
        <f>IF(AND(C54="Comisiones",H54="Sí"),IFERROR(J54*VLOOKUP(A54,PRODUCTOS!$A$6:$G$35,7,FALSE)*VLOOKUP(A54,PRODUCTOS!$A$6:$C$35,3,FALSE),0),0)</f>
        <v>0</v>
      </c>
      <c r="L54" s="3"/>
      <c r="M54" s="3"/>
    </row>
    <row r="55" ht="15.75" customHeight="1">
      <c r="A55" s="386"/>
      <c r="B55" s="44" t="str">
        <f>IFERROR(VLOOKUP(A55,PRODUCTOS!$A$6:$B$35,2,FALSE),"")</f>
      </c>
      <c r="C55" s="386"/>
      <c r="D55" s="386"/>
      <c r="E55" s="412"/>
      <c r="F55" s="386"/>
      <c r="G55" s="24">
        <f t="shared" si="1"/>
        <v>0</v>
      </c>
      <c r="H55" s="386"/>
      <c r="I55" s="386"/>
      <c r="J55" s="420"/>
      <c r="K55" s="47" t="n">
        <f>IF(AND(C55="Comisiones",H55="Sí"),IFERROR(J55*VLOOKUP(A55,PRODUCTOS!$A$6:$G$35,7,FALSE)*VLOOKUP(A55,PRODUCTOS!$A$6:$C$35,3,FALSE),0),0)</f>
        <v>0</v>
      </c>
      <c r="L55" s="3"/>
      <c r="M55" s="3"/>
    </row>
    <row r="56" ht="15.75" customHeight="1">
      <c r="A56" s="386"/>
      <c r="B56" s="44" t="str">
        <f>IFERROR(VLOOKUP(A56,PRODUCTOS!$A$6:$B$35,2,FALSE),"")</f>
      </c>
      <c r="C56" s="386"/>
      <c r="D56" s="386"/>
      <c r="E56" s="412"/>
      <c r="F56" s="386"/>
      <c r="G56" s="24">
        <f t="shared" si="1"/>
        <v>0</v>
      </c>
      <c r="H56" s="386"/>
      <c r="I56" s="386"/>
      <c r="J56" s="420"/>
      <c r="K56" s="47" t="n">
        <f>IF(AND(C56="Comisiones",H56="Sí"),IFERROR(J56*VLOOKUP(A56,PRODUCTOS!$A$6:$G$35,7,FALSE)*VLOOKUP(A56,PRODUCTOS!$A$6:$C$35,3,FALSE),0),0)</f>
        <v>0</v>
      </c>
      <c r="L56" s="3"/>
      <c r="M56" s="3"/>
    </row>
    <row r="57" ht="15.75" customHeight="1">
      <c r="A57" s="386"/>
      <c r="B57" s="44" t="str">
        <f>IFERROR(VLOOKUP(A57,PRODUCTOS!$A$6:$B$35,2,FALSE),"")</f>
      </c>
      <c r="C57" s="386"/>
      <c r="D57" s="386"/>
      <c r="E57" s="412"/>
      <c r="F57" s="386"/>
      <c r="G57" s="24">
        <f t="shared" si="1"/>
        <v>0</v>
      </c>
      <c r="H57" s="386"/>
      <c r="I57" s="386"/>
      <c r="J57" s="420"/>
      <c r="K57" s="47" t="n">
        <f>IF(AND(C57="Comisiones",H57="Sí"),IFERROR(J57*VLOOKUP(A57,PRODUCTOS!$A$6:$G$35,7,FALSE)*VLOOKUP(A57,PRODUCTOS!$A$6:$C$35,3,FALSE),0),0)</f>
        <v>0</v>
      </c>
      <c r="L57" s="3"/>
      <c r="M57" s="3"/>
    </row>
    <row r="58" ht="15.75" customHeight="1">
      <c r="A58" s="386"/>
      <c r="B58" s="44" t="str">
        <f>IFERROR(VLOOKUP(A58,PRODUCTOS!$A$6:$B$35,2,FALSE),"")</f>
      </c>
      <c r="C58" s="386"/>
      <c r="D58" s="386"/>
      <c r="E58" s="412"/>
      <c r="F58" s="386"/>
      <c r="G58" s="24">
        <f t="shared" si="1"/>
        <v>0</v>
      </c>
      <c r="H58" s="386"/>
      <c r="I58" s="386"/>
      <c r="J58" s="420"/>
      <c r="K58" s="47" t="n">
        <f>IF(AND(C58="Comisiones",H58="Sí"),IFERROR(J58*VLOOKUP(A58,PRODUCTOS!$A$6:$G$35,7,FALSE)*VLOOKUP(A58,PRODUCTOS!$A$6:$C$35,3,FALSE),0),0)</f>
        <v>0</v>
      </c>
      <c r="L58" s="3"/>
      <c r="M58" s="3"/>
    </row>
    <row r="59" ht="15.75" customHeight="1">
      <c r="A59" s="386"/>
      <c r="B59" s="44" t="str">
        <f>IFERROR(VLOOKUP(A59,PRODUCTOS!$A$6:$B$35,2,FALSE),"")</f>
      </c>
      <c r="C59" s="386"/>
      <c r="D59" s="386"/>
      <c r="E59" s="412"/>
      <c r="F59" s="386"/>
      <c r="G59" s="24">
        <f t="shared" si="1"/>
        <v>0</v>
      </c>
      <c r="H59" s="386"/>
      <c r="I59" s="386"/>
      <c r="J59" s="420"/>
      <c r="K59" s="47" t="n">
        <f>IF(AND(C59="Comisiones",H59="Sí"),IFERROR(J59*VLOOKUP(A59,PRODUCTOS!$A$6:$G$35,7,FALSE)*VLOOKUP(A59,PRODUCTOS!$A$6:$C$35,3,FALSE),0),0)</f>
        <v>0</v>
      </c>
      <c r="L59" s="3"/>
      <c r="M59" s="3"/>
    </row>
    <row r="60" ht="15.75" customHeight="1">
      <c r="A60" s="386"/>
      <c r="B60" s="44" t="str">
        <f>IFERROR(VLOOKUP(A60,PRODUCTOS!$A$6:$B$35,2,FALSE),"")</f>
      </c>
      <c r="C60" s="386"/>
      <c r="D60" s="386"/>
      <c r="E60" s="412"/>
      <c r="F60" s="386"/>
      <c r="G60" s="24">
        <f t="shared" si="1"/>
        <v>0</v>
      </c>
      <c r="H60" s="386"/>
      <c r="I60" s="386"/>
      <c r="J60" s="420"/>
      <c r="K60" s="47" t="n">
        <f>IF(AND(C60="Comisiones",H60="Sí"),IFERROR(J60*VLOOKUP(A60,PRODUCTOS!$A$6:$G$35,7,FALSE)*VLOOKUP(A60,PRODUCTOS!$A$6:$C$35,3,FALSE),0),0)</f>
        <v>0</v>
      </c>
      <c r="L60" s="3"/>
      <c r="M60" s="3"/>
    </row>
    <row r="61" ht="15.75" customHeight="1">
      <c r="A61" s="386"/>
      <c r="B61" s="44" t="str">
        <f>IFERROR(VLOOKUP(A61,PRODUCTOS!$A$6:$B$35,2,FALSE),"")</f>
      </c>
      <c r="C61" s="386"/>
      <c r="D61" s="386"/>
      <c r="E61" s="412"/>
      <c r="F61" s="386"/>
      <c r="G61" s="24">
        <f t="shared" si="1"/>
        <v>0</v>
      </c>
      <c r="H61" s="386"/>
      <c r="I61" s="386"/>
      <c r="J61" s="420"/>
      <c r="K61" s="47" t="n">
        <f>IF(AND(C61="Comisiones",H61="Sí"),IFERROR(J61*VLOOKUP(A61,PRODUCTOS!$A$6:$G$35,7,FALSE)*VLOOKUP(A61,PRODUCTOS!$A$6:$C$35,3,FALSE),0),0)</f>
        <v>0</v>
      </c>
      <c r="L61" s="3"/>
      <c r="M61" s="3"/>
    </row>
    <row r="62" ht="15.75" customHeight="1">
      <c r="A62" s="386"/>
      <c r="B62" s="44" t="str">
        <f>IFERROR(VLOOKUP(A62,PRODUCTOS!$A$6:$B$35,2,FALSE),"")</f>
      </c>
      <c r="C62" s="386"/>
      <c r="D62" s="386"/>
      <c r="E62" s="412"/>
      <c r="F62" s="386"/>
      <c r="G62" s="24">
        <f t="shared" si="1"/>
        <v>0</v>
      </c>
      <c r="H62" s="386"/>
      <c r="I62" s="386"/>
      <c r="J62" s="420"/>
      <c r="K62" s="47" t="n">
        <f>IF(AND(C62="Comisiones",H62="Sí"),IFERROR(J62*VLOOKUP(A62,PRODUCTOS!$A$6:$G$35,7,FALSE)*VLOOKUP(A62,PRODUCTOS!$A$6:$C$35,3,FALSE),0),0)</f>
        <v>0</v>
      </c>
      <c r="L62" s="3"/>
      <c r="M62" s="3"/>
    </row>
    <row r="63" ht="15.75" customHeight="1">
      <c r="A63" s="386"/>
      <c r="B63" s="44" t="str">
        <f>IFERROR(VLOOKUP(A63,PRODUCTOS!$A$6:$B$35,2,FALSE),"")</f>
      </c>
      <c r="C63" s="386"/>
      <c r="D63" s="386"/>
      <c r="E63" s="412"/>
      <c r="F63" s="386"/>
      <c r="G63" s="24">
        <f t="shared" si="1"/>
        <v>0</v>
      </c>
      <c r="H63" s="386"/>
      <c r="I63" s="386"/>
      <c r="J63" s="420"/>
      <c r="K63" s="47" t="n">
        <f>IF(AND(C63="Comisiones",H63="Sí"),IFERROR(J63*VLOOKUP(A63,PRODUCTOS!$A$6:$G$35,7,FALSE)*VLOOKUP(A63,PRODUCTOS!$A$6:$C$35,3,FALSE),0),0)</f>
        <v>0</v>
      </c>
      <c r="L63" s="3"/>
      <c r="M63" s="3"/>
    </row>
    <row r="64" ht="15.75" customHeight="1">
      <c r="A64" s="386"/>
      <c r="B64" s="44" t="str">
        <f>IFERROR(VLOOKUP(A64,PRODUCTOS!$A$6:$B$35,2,FALSE),"")</f>
      </c>
      <c r="C64" s="386"/>
      <c r="D64" s="386"/>
      <c r="E64" s="412"/>
      <c r="F64" s="386"/>
      <c r="G64" s="24">
        <f t="shared" si="1"/>
        <v>0</v>
      </c>
      <c r="H64" s="386"/>
      <c r="I64" s="386"/>
      <c r="J64" s="420"/>
      <c r="K64" s="47" t="n">
        <f>IF(AND(C64="Comisiones",H64="Sí"),IFERROR(J64*VLOOKUP(A64,PRODUCTOS!$A$6:$G$35,7,FALSE)*VLOOKUP(A64,PRODUCTOS!$A$6:$C$35,3,FALSE),0),0)</f>
        <v>0</v>
      </c>
      <c r="L64" s="3"/>
      <c r="M64" s="3"/>
    </row>
    <row r="65" ht="15.75" customHeight="1">
      <c r="A65" s="386"/>
      <c r="B65" s="44" t="str">
        <f>IFERROR(VLOOKUP(A65,PRODUCTOS!$A$6:$B$35,2,FALSE),"")</f>
      </c>
      <c r="C65" s="386"/>
      <c r="D65" s="386"/>
      <c r="E65" s="412"/>
      <c r="F65" s="386"/>
      <c r="G65" s="24">
        <f t="shared" si="1"/>
        <v>0</v>
      </c>
      <c r="H65" s="386"/>
      <c r="I65" s="386"/>
      <c r="J65" s="420"/>
      <c r="K65" s="47" t="n">
        <f>IF(AND(C65="Comisiones",H65="Sí"),IFERROR(J65*VLOOKUP(A65,PRODUCTOS!$A$6:$G$35,7,FALSE)*VLOOKUP(A65,PRODUCTOS!$A$6:$C$35,3,FALSE),0),0)</f>
        <v>0</v>
      </c>
      <c r="L65" s="3"/>
      <c r="M65" s="3"/>
    </row>
    <row r="66" ht="15.75" customHeight="1">
      <c r="A66" s="386"/>
      <c r="B66" s="44" t="str">
        <f>IFERROR(VLOOKUP(A66,PRODUCTOS!$A$6:$B$35,2,FALSE),"")</f>
      </c>
      <c r="C66" s="386"/>
      <c r="D66" s="386"/>
      <c r="E66" s="412"/>
      <c r="F66" s="386"/>
      <c r="G66" s="24">
        <f t="shared" si="1"/>
        <v>0</v>
      </c>
      <c r="H66" s="386"/>
      <c r="I66" s="386"/>
      <c r="J66" s="420"/>
      <c r="K66" s="47" t="n">
        <f>IF(AND(C66="Comisiones",H66="Sí"),IFERROR(J66*VLOOKUP(A66,PRODUCTOS!$A$6:$G$35,7,FALSE)*VLOOKUP(A66,PRODUCTOS!$A$6:$C$35,3,FALSE),0),0)</f>
        <v>0</v>
      </c>
      <c r="L66" s="3"/>
      <c r="M66" s="3"/>
    </row>
    <row r="67" ht="15.75" customHeight="1">
      <c r="A67" s="386"/>
      <c r="B67" s="44" t="str">
        <f>IFERROR(VLOOKUP(A67,PRODUCTOS!$A$6:$B$35,2,FALSE),"")</f>
      </c>
      <c r="C67" s="386"/>
      <c r="D67" s="386"/>
      <c r="E67" s="412"/>
      <c r="F67" s="386"/>
      <c r="G67" s="24">
        <f t="shared" si="1"/>
        <v>0</v>
      </c>
      <c r="H67" s="386"/>
      <c r="I67" s="386"/>
      <c r="J67" s="420"/>
      <c r="K67" s="47" t="n">
        <f>IF(AND(C67="Comisiones",H67="Sí"),IFERROR(J67*VLOOKUP(A67,PRODUCTOS!$A$6:$G$35,7,FALSE)*VLOOKUP(A67,PRODUCTOS!$A$6:$C$35,3,FALSE),0),0)</f>
        <v>0</v>
      </c>
      <c r="L67" s="3"/>
      <c r="M67" s="3"/>
    </row>
    <row r="68" ht="15.75" customHeight="1">
      <c r="A68" s="386"/>
      <c r="B68" s="44" t="str">
        <f>IFERROR(VLOOKUP(A68,PRODUCTOS!$A$6:$B$35,2,FALSE),"")</f>
      </c>
      <c r="C68" s="386"/>
      <c r="D68" s="386"/>
      <c r="E68" s="412"/>
      <c r="F68" s="386"/>
      <c r="G68" s="24">
        <f t="shared" si="1"/>
        <v>0</v>
      </c>
      <c r="H68" s="386"/>
      <c r="I68" s="386"/>
      <c r="J68" s="420"/>
      <c r="K68" s="47" t="n">
        <f>IF(AND(C68="Comisiones",H68="Sí"),IFERROR(J68*VLOOKUP(A68,PRODUCTOS!$A$6:$G$35,7,FALSE)*VLOOKUP(A68,PRODUCTOS!$A$6:$C$35,3,FALSE),0),0)</f>
        <v>0</v>
      </c>
      <c r="L68" s="3"/>
      <c r="M68" s="3"/>
    </row>
    <row r="69" ht="15.75" customHeight="1">
      <c r="A69" s="386"/>
      <c r="B69" s="44" t="str">
        <f>IFERROR(VLOOKUP(A69,PRODUCTOS!$A$6:$B$35,2,FALSE),"")</f>
      </c>
      <c r="C69" s="386"/>
      <c r="D69" s="386"/>
      <c r="E69" s="412"/>
      <c r="F69" s="386"/>
      <c r="G69" s="24">
        <f t="shared" si="1"/>
        <v>0</v>
      </c>
      <c r="H69" s="386"/>
      <c r="I69" s="386"/>
      <c r="J69" s="420"/>
      <c r="K69" s="47" t="n">
        <f>IF(AND(C69="Comisiones",H69="Sí"),IFERROR(J69*VLOOKUP(A69,PRODUCTOS!$A$6:$G$35,7,FALSE)*VLOOKUP(A69,PRODUCTOS!$A$6:$C$35,3,FALSE),0),0)</f>
        <v>0</v>
      </c>
      <c r="L69" s="3"/>
      <c r="M69" s="3"/>
    </row>
    <row r="70" ht="15.75" customHeight="1">
      <c r="A70" s="386"/>
      <c r="B70" s="44" t="str">
        <f>IFERROR(VLOOKUP(A70,PRODUCTOS!$A$6:$B$35,2,FALSE),"")</f>
      </c>
      <c r="C70" s="386"/>
      <c r="D70" s="386"/>
      <c r="E70" s="412"/>
      <c r="F70" s="386"/>
      <c r="G70" s="24">
        <f t="shared" si="1"/>
        <v>0</v>
      </c>
      <c r="H70" s="386"/>
      <c r="I70" s="386"/>
      <c r="J70" s="420"/>
      <c r="K70" s="47" t="n">
        <f>IF(AND(C70="Comisiones",H70="Sí"),IFERROR(J70*VLOOKUP(A70,PRODUCTOS!$A$6:$G$35,7,FALSE)*VLOOKUP(A70,PRODUCTOS!$A$6:$C$35,3,FALSE),0),0)</f>
        <v>0</v>
      </c>
      <c r="L70" s="3"/>
      <c r="M70" s="3"/>
    </row>
    <row r="71" ht="15.75" customHeight="1">
      <c r="A71" s="386"/>
      <c r="B71" s="44" t="str">
        <f>IFERROR(VLOOKUP(A71,PRODUCTOS!$A$6:$B$35,2,FALSE),"")</f>
      </c>
      <c r="C71" s="386"/>
      <c r="D71" s="386"/>
      <c r="E71" s="412"/>
      <c r="F71" s="386"/>
      <c r="G71" s="24">
        <f t="shared" si="1"/>
        <v>0</v>
      </c>
      <c r="H71" s="386"/>
      <c r="I71" s="386"/>
      <c r="J71" s="420"/>
      <c r="K71" s="47" t="n">
        <f>IF(AND(C71="Comisiones",H71="Sí"),IFERROR(J71*VLOOKUP(A71,PRODUCTOS!$A$6:$G$35,7,FALSE)*VLOOKUP(A71,PRODUCTOS!$A$6:$C$35,3,FALSE),0),0)</f>
        <v>0</v>
      </c>
      <c r="L71" s="3"/>
      <c r="M71" s="3"/>
    </row>
    <row r="72" ht="15.75" customHeight="1">
      <c r="A72" s="386"/>
      <c r="B72" s="44" t="str">
        <f>IFERROR(VLOOKUP(A72,PRODUCTOS!$A$6:$B$35,2,FALSE),"")</f>
      </c>
      <c r="C72" s="386"/>
      <c r="D72" s="386"/>
      <c r="E72" s="412"/>
      <c r="F72" s="386"/>
      <c r="G72" s="24">
        <f t="shared" si="1"/>
        <v>0</v>
      </c>
      <c r="H72" s="386"/>
      <c r="I72" s="386"/>
      <c r="J72" s="420"/>
      <c r="K72" s="47" t="n">
        <f>IF(AND(C72="Comisiones",H72="Sí"),IFERROR(J72*VLOOKUP(A72,PRODUCTOS!$A$6:$G$35,7,FALSE)*VLOOKUP(A72,PRODUCTOS!$A$6:$C$35,3,FALSE),0),0)</f>
        <v>0</v>
      </c>
      <c r="L72" s="3"/>
      <c r="M72" s="3"/>
    </row>
    <row r="73" ht="15.75" customHeight="1">
      <c r="A73" s="386"/>
      <c r="B73" s="44" t="str">
        <f>IFERROR(VLOOKUP(A73,PRODUCTOS!$A$6:$B$35,2,FALSE),"")</f>
      </c>
      <c r="C73" s="386"/>
      <c r="D73" s="386"/>
      <c r="E73" s="412"/>
      <c r="F73" s="386"/>
      <c r="G73" s="24">
        <f t="shared" si="1"/>
        <v>0</v>
      </c>
      <c r="H73" s="386"/>
      <c r="I73" s="386"/>
      <c r="J73" s="420"/>
      <c r="K73" s="47" t="n">
        <f>IF(AND(C73="Comisiones",H73="Sí"),IFERROR(J73*VLOOKUP(A73,PRODUCTOS!$A$6:$G$35,7,FALSE)*VLOOKUP(A73,PRODUCTOS!$A$6:$C$35,3,FALSE),0),0)</f>
        <v>0</v>
      </c>
      <c r="L73" s="3"/>
      <c r="M73" s="3"/>
    </row>
    <row r="74" ht="15.75" customHeight="1">
      <c r="A74" s="386"/>
      <c r="B74" s="44" t="str">
        <f>IFERROR(VLOOKUP(A74,PRODUCTOS!$A$6:$B$35,2,FALSE),"")</f>
      </c>
      <c r="C74" s="386"/>
      <c r="D74" s="386"/>
      <c r="E74" s="412"/>
      <c r="F74" s="386"/>
      <c r="G74" s="24">
        <f t="shared" si="1"/>
        <v>0</v>
      </c>
      <c r="H74" s="386"/>
      <c r="I74" s="386"/>
      <c r="J74" s="420"/>
      <c r="K74" s="47" t="n">
        <f>IF(AND(C74="Comisiones",H74="Sí"),IFERROR(J74*VLOOKUP(A74,PRODUCTOS!$A$6:$G$35,7,FALSE)*VLOOKUP(A74,PRODUCTOS!$A$6:$C$35,3,FALSE),0),0)</f>
        <v>0</v>
      </c>
      <c r="L74" s="3"/>
      <c r="M74" s="3"/>
    </row>
    <row r="75" ht="15.75" customHeight="1">
      <c r="A75" s="386"/>
      <c r="B75" s="44" t="str">
        <f>IFERROR(VLOOKUP(A75,PRODUCTOS!$A$6:$B$35,2,FALSE),"")</f>
      </c>
      <c r="C75" s="386"/>
      <c r="D75" s="386"/>
      <c r="E75" s="412"/>
      <c r="F75" s="386"/>
      <c r="G75" s="24">
        <f t="shared" si="1"/>
        <v>0</v>
      </c>
      <c r="H75" s="386"/>
      <c r="I75" s="386"/>
      <c r="J75" s="420"/>
      <c r="K75" s="47" t="n">
        <f>IF(AND(C75="Comisiones",H75="Sí"),IFERROR(J75*VLOOKUP(A75,PRODUCTOS!$A$6:$G$35,7,FALSE)*VLOOKUP(A75,PRODUCTOS!$A$6:$C$35,3,FALSE),0),0)</f>
        <v>0</v>
      </c>
      <c r="L75" s="3"/>
      <c r="M75" s="3"/>
    </row>
    <row r="76" ht="15.75" customHeight="1">
      <c r="A76" s="386"/>
      <c r="B76" s="44" t="str">
        <f>IFERROR(VLOOKUP(A76,PRODUCTOS!$A$6:$B$35,2,FALSE),"")</f>
      </c>
      <c r="C76" s="386"/>
      <c r="D76" s="386"/>
      <c r="E76" s="412"/>
      <c r="F76" s="386"/>
      <c r="G76" s="24">
        <f t="shared" si="1"/>
        <v>0</v>
      </c>
      <c r="H76" s="386"/>
      <c r="I76" s="386"/>
      <c r="J76" s="420"/>
      <c r="K76" s="47" t="n">
        <f>IF(AND(C76="Comisiones",H76="Sí"),IFERROR(J76*VLOOKUP(A76,PRODUCTOS!$A$6:$G$35,7,FALSE)*VLOOKUP(A76,PRODUCTOS!$A$6:$C$35,3,FALSE),0),0)</f>
        <v>0</v>
      </c>
      <c r="L76" s="3"/>
      <c r="M76" s="3"/>
    </row>
    <row r="77" ht="15.75" customHeight="1">
      <c r="A77" s="386"/>
      <c r="B77" s="44" t="str">
        <f>IFERROR(VLOOKUP(A77,PRODUCTOS!$A$6:$B$35,2,FALSE),"")</f>
      </c>
      <c r="C77" s="386"/>
      <c r="D77" s="386"/>
      <c r="E77" s="412"/>
      <c r="F77" s="386"/>
      <c r="G77" s="24">
        <f t="shared" si="1"/>
        <v>0</v>
      </c>
      <c r="H77" s="386"/>
      <c r="I77" s="386"/>
      <c r="J77" s="420"/>
      <c r="K77" s="47" t="n">
        <f>IF(AND(C77="Comisiones",H77="Sí"),IFERROR(J77*VLOOKUP(A77,PRODUCTOS!$A$6:$G$35,7,FALSE)*VLOOKUP(A77,PRODUCTOS!$A$6:$C$35,3,FALSE),0),0)</f>
        <v>0</v>
      </c>
      <c r="L77" s="3"/>
      <c r="M77" s="3"/>
    </row>
    <row r="78" ht="15.75" customHeight="1">
      <c r="A78" s="386"/>
      <c r="B78" s="44" t="str">
        <f>IFERROR(VLOOKUP(A78,PRODUCTOS!$A$6:$B$35,2,FALSE),"")</f>
      </c>
      <c r="C78" s="386"/>
      <c r="D78" s="386"/>
      <c r="E78" s="412"/>
      <c r="F78" s="386"/>
      <c r="G78" s="24">
        <f t="shared" si="1"/>
        <v>0</v>
      </c>
      <c r="H78" s="386"/>
      <c r="I78" s="386"/>
      <c r="J78" s="420"/>
      <c r="K78" s="47" t="n">
        <f>IF(AND(C78="Comisiones",H78="Sí"),IFERROR(J78*VLOOKUP(A78,PRODUCTOS!$A$6:$G$35,7,FALSE)*VLOOKUP(A78,PRODUCTOS!$A$6:$C$35,3,FALSE),0),0)</f>
        <v>0</v>
      </c>
      <c r="L78" s="3"/>
      <c r="M78" s="3"/>
    </row>
    <row r="79" ht="15.75" customHeight="1">
      <c r="A79" s="386"/>
      <c r="B79" s="44" t="str">
        <f>IFERROR(VLOOKUP(A79,PRODUCTOS!$A$6:$B$35,2,FALSE),"")</f>
      </c>
      <c r="C79" s="386"/>
      <c r="D79" s="386"/>
      <c r="E79" s="412"/>
      <c r="F79" s="386"/>
      <c r="G79" s="24">
        <f t="shared" si="1"/>
        <v>0</v>
      </c>
      <c r="H79" s="386"/>
      <c r="I79" s="386"/>
      <c r="J79" s="420"/>
      <c r="K79" s="47" t="n">
        <f>IF(AND(C79="Comisiones",H79="Sí"),IFERROR(J79*VLOOKUP(A79,PRODUCTOS!$A$6:$G$35,7,FALSE)*VLOOKUP(A79,PRODUCTOS!$A$6:$C$35,3,FALSE),0),0)</f>
        <v>0</v>
      </c>
      <c r="L79" s="3"/>
      <c r="M79" s="3"/>
    </row>
    <row r="80" ht="15.75" customHeight="1">
      <c r="A80" s="386"/>
      <c r="B80" s="44" t="str">
        <f>IFERROR(VLOOKUP(A80,PRODUCTOS!$A$6:$B$35,2,FALSE),"")</f>
      </c>
      <c r="C80" s="386"/>
      <c r="D80" s="386"/>
      <c r="E80" s="412"/>
      <c r="F80" s="386"/>
      <c r="G80" s="24">
        <f t="shared" si="1"/>
        <v>0</v>
      </c>
      <c r="H80" s="386"/>
      <c r="I80" s="386"/>
      <c r="J80" s="420"/>
      <c r="K80" s="47" t="n">
        <f>IF(AND(C80="Comisiones",H80="Sí"),IFERROR(J80*VLOOKUP(A80,PRODUCTOS!$A$6:$G$35,7,FALSE)*VLOOKUP(A80,PRODUCTOS!$A$6:$C$35,3,FALSE),0),0)</f>
        <v>0</v>
      </c>
      <c r="L80" s="3"/>
      <c r="M80" s="3"/>
    </row>
    <row r="81" ht="15.75" customHeight="1">
      <c r="A81" s="386"/>
      <c r="B81" s="44" t="str">
        <f>IFERROR(VLOOKUP(A81,PRODUCTOS!$A$6:$B$35,2,FALSE),"")</f>
      </c>
      <c r="C81" s="386"/>
      <c r="D81" s="386"/>
      <c r="E81" s="412"/>
      <c r="F81" s="386"/>
      <c r="G81" s="24">
        <f t="shared" si="1"/>
        <v>0</v>
      </c>
      <c r="H81" s="386"/>
      <c r="I81" s="386"/>
      <c r="J81" s="420"/>
      <c r="K81" s="47" t="n">
        <f>IF(AND(C81="Comisiones",H81="Sí"),IFERROR(J81*VLOOKUP(A81,PRODUCTOS!$A$6:$G$35,7,FALSE)*VLOOKUP(A81,PRODUCTOS!$A$6:$C$35,3,FALSE),0),0)</f>
        <v>0</v>
      </c>
      <c r="L81" s="3"/>
      <c r="M81" s="3"/>
    </row>
    <row r="82" ht="15.75" customHeight="1">
      <c r="A82" s="386"/>
      <c r="B82" s="44" t="str">
        <f>IFERROR(VLOOKUP(A82,PRODUCTOS!$A$6:$B$35,2,FALSE),"")</f>
      </c>
      <c r="C82" s="386"/>
      <c r="D82" s="386"/>
      <c r="E82" s="412"/>
      <c r="F82" s="386"/>
      <c r="G82" s="24">
        <f t="shared" si="1"/>
        <v>0</v>
      </c>
      <c r="H82" s="386"/>
      <c r="I82" s="386"/>
      <c r="J82" s="420"/>
      <c r="K82" s="47" t="n">
        <f>IF(AND(C82="Comisiones",H82="Sí"),IFERROR(J82*VLOOKUP(A82,PRODUCTOS!$A$6:$G$35,7,FALSE)*VLOOKUP(A82,PRODUCTOS!$A$6:$C$35,3,FALSE),0),0)</f>
        <v>0</v>
      </c>
      <c r="L82" s="3"/>
      <c r="M82" s="3"/>
    </row>
    <row r="83" ht="15.75" customHeight="1">
      <c r="A83" s="386"/>
      <c r="B83" s="44" t="str">
        <f>IFERROR(VLOOKUP(A83,PRODUCTOS!$A$6:$B$35,2,FALSE),"")</f>
      </c>
      <c r="C83" s="386"/>
      <c r="D83" s="386"/>
      <c r="E83" s="412"/>
      <c r="F83" s="386"/>
      <c r="G83" s="24">
        <f t="shared" si="1"/>
        <v>0</v>
      </c>
      <c r="H83" s="386"/>
      <c r="I83" s="386"/>
      <c r="J83" s="420"/>
      <c r="K83" s="47" t="n">
        <f>IF(AND(C83="Comisiones",H83="Sí"),IFERROR(J83*VLOOKUP(A83,PRODUCTOS!$A$6:$G$35,7,FALSE)*VLOOKUP(A83,PRODUCTOS!$A$6:$C$35,3,FALSE),0),0)</f>
        <v>0</v>
      </c>
      <c r="L83" s="3"/>
      <c r="M83" s="3"/>
    </row>
    <row r="84" ht="15.75" customHeight="1">
      <c r="A84" s="386"/>
      <c r="B84" s="44" t="str">
        <f>IFERROR(VLOOKUP(A84,PRODUCTOS!$A$6:$B$35,2,FALSE),"")</f>
      </c>
      <c r="C84" s="386"/>
      <c r="D84" s="386"/>
      <c r="E84" s="412"/>
      <c r="F84" s="386"/>
      <c r="G84" s="24">
        <f t="shared" si="1"/>
        <v>0</v>
      </c>
      <c r="H84" s="386"/>
      <c r="I84" s="386"/>
      <c r="J84" s="420"/>
      <c r="K84" s="47" t="n">
        <f>IF(AND(C84="Comisiones",H84="Sí"),IFERROR(J84*VLOOKUP(A84,PRODUCTOS!$A$6:$G$35,7,FALSE)*VLOOKUP(A84,PRODUCTOS!$A$6:$C$35,3,FALSE),0),0)</f>
        <v>0</v>
      </c>
      <c r="L84" s="3"/>
      <c r="M84" s="3"/>
    </row>
    <row r="85" ht="15.75" customHeight="1">
      <c r="A85" s="386"/>
      <c r="B85" s="44" t="str">
        <f>IFERROR(VLOOKUP(A85,PRODUCTOS!$A$6:$B$35,2,FALSE),"")</f>
      </c>
      <c r="C85" s="386"/>
      <c r="D85" s="386"/>
      <c r="E85" s="412"/>
      <c r="F85" s="386"/>
      <c r="G85" s="24">
        <f t="shared" si="1"/>
        <v>0</v>
      </c>
      <c r="H85" s="386"/>
      <c r="I85" s="386"/>
      <c r="J85" s="420"/>
      <c r="K85" s="47" t="n">
        <f>IF(AND(C85="Comisiones",H85="Sí"),IFERROR(J85*VLOOKUP(A85,PRODUCTOS!$A$6:$G$35,7,FALSE)*VLOOKUP(A85,PRODUCTOS!$A$6:$C$35,3,FALSE),0),0)</f>
        <v>0</v>
      </c>
      <c r="L85" s="3"/>
      <c r="M85" s="3"/>
    </row>
    <row r="86" ht="15.75" customHeight="1">
      <c r="A86" s="386"/>
      <c r="B86" s="44" t="str">
        <f>IFERROR(VLOOKUP(A86,PRODUCTOS!$A$6:$B$35,2,FALSE),"")</f>
      </c>
      <c r="C86" s="386"/>
      <c r="D86" s="386"/>
      <c r="E86" s="412"/>
      <c r="F86" s="386"/>
      <c r="G86" s="24">
        <f t="shared" si="1"/>
        <v>0</v>
      </c>
      <c r="H86" s="386"/>
      <c r="I86" s="386"/>
      <c r="J86" s="420"/>
      <c r="K86" s="47" t="n">
        <f>IF(AND(C86="Comisiones",H86="Sí"),IFERROR(J86*VLOOKUP(A86,PRODUCTOS!$A$6:$G$35,7,FALSE)*VLOOKUP(A86,PRODUCTOS!$A$6:$C$35,3,FALSE),0),0)</f>
        <v>0</v>
      </c>
      <c r="L86" s="3"/>
      <c r="M86" s="3"/>
    </row>
    <row r="87" ht="15.75" customHeight="1">
      <c r="A87" s="386"/>
      <c r="B87" s="44" t="str">
        <f>IFERROR(VLOOKUP(A87,PRODUCTOS!$A$6:$B$35,2,FALSE),"")</f>
      </c>
      <c r="C87" s="386"/>
      <c r="D87" s="386"/>
      <c r="E87" s="412"/>
      <c r="F87" s="386"/>
      <c r="G87" s="24">
        <f t="shared" si="1"/>
        <v>0</v>
      </c>
      <c r="H87" s="386"/>
      <c r="I87" s="386"/>
      <c r="J87" s="420"/>
      <c r="K87" s="47" t="n">
        <f>IF(AND(C87="Comisiones",H87="Sí"),IFERROR(J87*VLOOKUP(A87,PRODUCTOS!$A$6:$G$35,7,FALSE)*VLOOKUP(A87,PRODUCTOS!$A$6:$C$35,3,FALSE),0),0)</f>
        <v>0</v>
      </c>
      <c r="L87" s="3"/>
      <c r="M87" s="3"/>
    </row>
    <row r="88" ht="15.75" customHeight="1">
      <c r="A88" s="386"/>
      <c r="B88" s="44" t="str">
        <f>IFERROR(VLOOKUP(A88,PRODUCTOS!$A$6:$B$35,2,FALSE),"")</f>
      </c>
      <c r="C88" s="386"/>
      <c r="D88" s="386"/>
      <c r="E88" s="412"/>
      <c r="F88" s="386"/>
      <c r="G88" s="24">
        <f t="shared" si="1"/>
        <v>0</v>
      </c>
      <c r="H88" s="386"/>
      <c r="I88" s="386"/>
      <c r="J88" s="420"/>
      <c r="K88" s="47" t="n">
        <f>IF(AND(C88="Comisiones",H88="Sí"),IFERROR(J88*VLOOKUP(A88,PRODUCTOS!$A$6:$G$35,7,FALSE)*VLOOKUP(A88,PRODUCTOS!$A$6:$C$35,3,FALSE),0),0)</f>
        <v>0</v>
      </c>
      <c r="L88" s="3"/>
      <c r="M88" s="3"/>
    </row>
    <row r="89" ht="15.75" customHeight="1">
      <c r="A89" s="386"/>
      <c r="B89" s="44" t="str">
        <f>IFERROR(VLOOKUP(A89,PRODUCTOS!$A$6:$B$35,2,FALSE),"")</f>
      </c>
      <c r="C89" s="386"/>
      <c r="D89" s="386"/>
      <c r="E89" s="412"/>
      <c r="F89" s="386"/>
      <c r="G89" s="24">
        <f t="shared" si="1"/>
        <v>0</v>
      </c>
      <c r="H89" s="386"/>
      <c r="I89" s="386"/>
      <c r="J89" s="420"/>
      <c r="K89" s="47" t="n">
        <f>IF(AND(C89="Comisiones",H89="Sí"),IFERROR(J89*VLOOKUP(A89,PRODUCTOS!$A$6:$G$35,7,FALSE)*VLOOKUP(A89,PRODUCTOS!$A$6:$C$35,3,FALSE),0),0)</f>
        <v>0</v>
      </c>
      <c r="L89" s="3"/>
      <c r="M89" s="3"/>
    </row>
    <row r="90" ht="15.75" customHeight="1">
      <c r="A90" s="386"/>
      <c r="B90" s="44" t="str">
        <f>IFERROR(VLOOKUP(A90,PRODUCTOS!$A$6:$B$35,2,FALSE),"")</f>
      </c>
      <c r="C90" s="386"/>
      <c r="D90" s="386"/>
      <c r="E90" s="412"/>
      <c r="F90" s="386"/>
      <c r="G90" s="24">
        <f t="shared" si="1"/>
        <v>0</v>
      </c>
      <c r="H90" s="386"/>
      <c r="I90" s="386"/>
      <c r="J90" s="420"/>
      <c r="K90" s="47" t="n">
        <f>IF(AND(C90="Comisiones",H90="Sí"),IFERROR(J90*VLOOKUP(A90,PRODUCTOS!$A$6:$G$35,7,FALSE)*VLOOKUP(A90,PRODUCTOS!$A$6:$C$35,3,FALSE),0),0)</f>
        <v>0</v>
      </c>
      <c r="L90" s="3"/>
      <c r="M90" s="3"/>
    </row>
    <row r="91" ht="15.75" customHeight="1">
      <c r="A91" s="386"/>
      <c r="B91" s="44" t="str">
        <f>IFERROR(VLOOKUP(A91,PRODUCTOS!$A$6:$B$35,2,FALSE),"")</f>
      </c>
      <c r="C91" s="386"/>
      <c r="D91" s="386"/>
      <c r="E91" s="412"/>
      <c r="F91" s="386"/>
      <c r="G91" s="24">
        <f t="shared" si="1"/>
        <v>0</v>
      </c>
      <c r="H91" s="386"/>
      <c r="I91" s="386"/>
      <c r="J91" s="420"/>
      <c r="K91" s="47" t="n">
        <f>IF(AND(C91="Comisiones",H91="Sí"),IFERROR(J91*VLOOKUP(A91,PRODUCTOS!$A$6:$G$35,7,FALSE)*VLOOKUP(A91,PRODUCTOS!$A$6:$C$35,3,FALSE),0),0)</f>
        <v>0</v>
      </c>
      <c r="L91" s="3"/>
      <c r="M91" s="3"/>
    </row>
    <row r="92" ht="15.75" customHeight="1">
      <c r="A92" s="386"/>
      <c r="B92" s="44" t="str">
        <f>IFERROR(VLOOKUP(A92,PRODUCTOS!$A$6:$B$35,2,FALSE),"")</f>
      </c>
      <c r="C92" s="386"/>
      <c r="D92" s="386"/>
      <c r="E92" s="412"/>
      <c r="F92" s="386"/>
      <c r="G92" s="24">
        <f t="shared" si="1"/>
        <v>0</v>
      </c>
      <c r="H92" s="386"/>
      <c r="I92" s="386"/>
      <c r="J92" s="420"/>
      <c r="K92" s="47" t="n">
        <f>IF(AND(C92="Comisiones",H92="Sí"),IFERROR(J92*VLOOKUP(A92,PRODUCTOS!$A$6:$G$35,7,FALSE)*VLOOKUP(A92,PRODUCTOS!$A$6:$C$35,3,FALSE),0),0)</f>
        <v>0</v>
      </c>
      <c r="L92" s="3"/>
      <c r="M92" s="3"/>
    </row>
    <row r="93" ht="15.75" customHeight="1">
      <c r="A93" s="386"/>
      <c r="B93" s="44" t="str">
        <f>IFERROR(VLOOKUP(A93,PRODUCTOS!$A$6:$B$35,2,FALSE),"")</f>
      </c>
      <c r="C93" s="386"/>
      <c r="D93" s="386"/>
      <c r="E93" s="412"/>
      <c r="F93" s="386"/>
      <c r="G93" s="24">
        <f t="shared" si="1"/>
        <v>0</v>
      </c>
      <c r="H93" s="386"/>
      <c r="I93" s="386"/>
      <c r="J93" s="420"/>
      <c r="K93" s="47" t="n">
        <f>IF(AND(C93="Comisiones",H93="Sí"),IFERROR(J93*VLOOKUP(A93,PRODUCTOS!$A$6:$G$35,7,FALSE)*VLOOKUP(A93,PRODUCTOS!$A$6:$C$35,3,FALSE),0),0)</f>
        <v>0</v>
      </c>
      <c r="L93" s="3"/>
      <c r="M93" s="3"/>
    </row>
    <row r="94" ht="15.75" customHeight="1">
      <c r="A94" s="386"/>
      <c r="B94" s="44" t="str">
        <f>IFERROR(VLOOKUP(A94,PRODUCTOS!$A$6:$B$35,2,FALSE),"")</f>
      </c>
      <c r="C94" s="386"/>
      <c r="D94" s="386"/>
      <c r="E94" s="412"/>
      <c r="F94" s="386"/>
      <c r="G94" s="24">
        <f t="shared" si="1"/>
        <v>0</v>
      </c>
      <c r="H94" s="386"/>
      <c r="I94" s="386"/>
      <c r="J94" s="420"/>
      <c r="K94" s="47" t="n">
        <f>IF(AND(C94="Comisiones",H94="Sí"),IFERROR(J94*VLOOKUP(A94,PRODUCTOS!$A$6:$G$35,7,FALSE)*VLOOKUP(A94,PRODUCTOS!$A$6:$C$35,3,FALSE),0),0)</f>
        <v>0</v>
      </c>
      <c r="L94" s="3"/>
      <c r="M94" s="3"/>
    </row>
    <row r="95" ht="15.75" customHeight="1">
      <c r="A95" s="386"/>
      <c r="B95" s="44" t="str">
        <f>IFERROR(VLOOKUP(A95,PRODUCTOS!$A$6:$B$35,2,FALSE),"")</f>
      </c>
      <c r="C95" s="386"/>
      <c r="D95" s="386"/>
      <c r="E95" s="412"/>
      <c r="F95" s="386"/>
      <c r="G95" s="24">
        <f t="shared" si="1"/>
        <v>0</v>
      </c>
      <c r="H95" s="386"/>
      <c r="I95" s="386"/>
      <c r="J95" s="420"/>
      <c r="K95" s="47" t="n">
        <f>IF(AND(C95="Comisiones",H95="Sí"),IFERROR(J95*VLOOKUP(A95,PRODUCTOS!$A$6:$G$35,7,FALSE)*VLOOKUP(A95,PRODUCTOS!$A$6:$C$35,3,FALSE),0),0)</f>
        <v>0</v>
      </c>
      <c r="L95" s="3"/>
      <c r="M95" s="3"/>
    </row>
    <row r="96" ht="15.75" customHeight="1">
      <c r="A96" s="386"/>
      <c r="B96" s="44" t="str">
        <f>IFERROR(VLOOKUP(A96,PRODUCTOS!$A$6:$B$35,2,FALSE),"")</f>
      </c>
      <c r="C96" s="386"/>
      <c r="D96" s="386"/>
      <c r="E96" s="412"/>
      <c r="F96" s="386"/>
      <c r="G96" s="24">
        <f t="shared" si="1"/>
        <v>0</v>
      </c>
      <c r="H96" s="386"/>
      <c r="I96" s="386"/>
      <c r="J96" s="420"/>
      <c r="K96" s="47" t="n">
        <f>IF(AND(C96="Comisiones",H96="Sí"),IFERROR(J96*VLOOKUP(A96,PRODUCTOS!$A$6:$G$35,7,FALSE)*VLOOKUP(A96,PRODUCTOS!$A$6:$C$35,3,FALSE),0),0)</f>
        <v>0</v>
      </c>
      <c r="L96" s="3"/>
      <c r="M96" s="3"/>
    </row>
    <row r="97" ht="15.75" customHeight="1">
      <c r="A97" s="386"/>
      <c r="B97" s="44" t="str">
        <f>IFERROR(VLOOKUP(A97,PRODUCTOS!$A$6:$B$35,2,FALSE),"")</f>
      </c>
      <c r="C97" s="386"/>
      <c r="D97" s="386"/>
      <c r="E97" s="412"/>
      <c r="F97" s="386"/>
      <c r="G97" s="24">
        <f t="shared" si="1"/>
        <v>0</v>
      </c>
      <c r="H97" s="386"/>
      <c r="I97" s="386"/>
      <c r="J97" s="420"/>
      <c r="K97" s="47" t="n">
        <f>IF(AND(C97="Comisiones",H97="Sí"),IFERROR(J97*VLOOKUP(A97,PRODUCTOS!$A$6:$G$35,7,FALSE)*VLOOKUP(A97,PRODUCTOS!$A$6:$C$35,3,FALSE),0),0)</f>
        <v>0</v>
      </c>
      <c r="L97" s="3"/>
      <c r="M97" s="3"/>
    </row>
    <row r="98" ht="15.75" customHeight="1">
      <c r="A98" s="386"/>
      <c r="B98" s="44" t="str">
        <f>IFERROR(VLOOKUP(A98,PRODUCTOS!$A$6:$B$35,2,FALSE),"")</f>
      </c>
      <c r="C98" s="386"/>
      <c r="D98" s="386"/>
      <c r="E98" s="412"/>
      <c r="F98" s="386"/>
      <c r="G98" s="24">
        <f t="shared" si="1"/>
        <v>0</v>
      </c>
      <c r="H98" s="386"/>
      <c r="I98" s="386"/>
      <c r="J98" s="420"/>
      <c r="K98" s="47" t="n">
        <f>IF(AND(C98="Comisiones",H98="Sí"),IFERROR(J98*VLOOKUP(A98,PRODUCTOS!$A$6:$G$35,7,FALSE)*VLOOKUP(A98,PRODUCTOS!$A$6:$C$35,3,FALSE),0),0)</f>
        <v>0</v>
      </c>
      <c r="L98" s="3"/>
      <c r="M98" s="3"/>
    </row>
    <row r="99" ht="15.75" customHeight="1">
      <c r="A99" s="386"/>
      <c r="B99" s="44" t="str">
        <f>IFERROR(VLOOKUP(A99,PRODUCTOS!$A$6:$B$35,2,FALSE),"")</f>
      </c>
      <c r="C99" s="386"/>
      <c r="D99" s="386"/>
      <c r="E99" s="412"/>
      <c r="F99" s="386"/>
      <c r="G99" s="24">
        <f t="shared" si="1"/>
        <v>0</v>
      </c>
      <c r="H99" s="386"/>
      <c r="I99" s="386"/>
      <c r="J99" s="420"/>
      <c r="K99" s="47" t="n">
        <f>IF(AND(C99="Comisiones",H99="Sí"),IFERROR(J99*VLOOKUP(A99,PRODUCTOS!$A$6:$G$35,7,FALSE)*VLOOKUP(A99,PRODUCTOS!$A$6:$C$35,3,FALSE),0),0)</f>
        <v>0</v>
      </c>
      <c r="L99" s="3"/>
      <c r="M99" s="3"/>
    </row>
    <row r="100" ht="15.75" customHeight="1">
      <c r="A100" s="386"/>
      <c r="B100" s="44" t="str">
        <f>IFERROR(VLOOKUP(A100,PRODUCTOS!$A$6:$B$35,2,FALSE),"")</f>
      </c>
      <c r="C100" s="386"/>
      <c r="D100" s="386"/>
      <c r="E100" s="412"/>
      <c r="F100" s="386"/>
      <c r="G100" s="24">
        <f t="shared" si="1"/>
        <v>0</v>
      </c>
      <c r="H100" s="386"/>
      <c r="I100" s="386"/>
      <c r="J100" s="420"/>
      <c r="K100" s="47" t="n">
        <f>IF(AND(C100="Comisiones",H100="Sí"),IFERROR(J100*VLOOKUP(A100,PRODUCTOS!$A$6:$G$35,7,FALSE)*VLOOKUP(A100,PRODUCTOS!$A$6:$C$35,3,FALSE),0),0)</f>
        <v>0</v>
      </c>
      <c r="L100" s="3"/>
      <c r="M100" s="3"/>
    </row>
    <row r="101" ht="15.75" customHeight="1">
      <c r="A101" s="386"/>
      <c r="B101" s="44" t="str">
        <f>IFERROR(VLOOKUP(A101,PRODUCTOS!$A$6:$B$35,2,FALSE),"")</f>
      </c>
      <c r="C101" s="386"/>
      <c r="D101" s="386"/>
      <c r="E101" s="412"/>
      <c r="F101" s="386"/>
      <c r="G101" s="24">
        <f t="shared" si="1"/>
        <v>0</v>
      </c>
      <c r="H101" s="386"/>
      <c r="I101" s="386"/>
      <c r="J101" s="420"/>
      <c r="K101" s="47" t="n">
        <f>IF(AND(C101="Comisiones",H101="Sí"),IFERROR(J101*VLOOKUP(A101,PRODUCTOS!$A$6:$G$35,7,FALSE)*VLOOKUP(A101,PRODUCTOS!$A$6:$C$35,3,FALSE),0),0)</f>
        <v>0</v>
      </c>
      <c r="L101" s="3"/>
      <c r="M101" s="3"/>
    </row>
    <row r="102" ht="15.75" customHeight="1">
      <c r="A102" s="386"/>
      <c r="B102" s="44" t="str">
        <f>IFERROR(VLOOKUP(A102,PRODUCTOS!$A$6:$B$35,2,FALSE),"")</f>
      </c>
      <c r="C102" s="386"/>
      <c r="D102" s="386"/>
      <c r="E102" s="412"/>
      <c r="F102" s="386"/>
      <c r="G102" s="24">
        <f t="shared" si="1"/>
        <v>0</v>
      </c>
      <c r="H102" s="386"/>
      <c r="I102" s="386"/>
      <c r="J102" s="420"/>
      <c r="K102" s="47" t="n">
        <f>IF(AND(C102="Comisiones",H102="Sí"),IFERROR(J102*VLOOKUP(A102,PRODUCTOS!$A$6:$G$35,7,FALSE)*VLOOKUP(A102,PRODUCTOS!$A$6:$C$35,3,FALSE),0),0)</f>
        <v>0</v>
      </c>
      <c r="L102" s="3"/>
      <c r="M102" s="3"/>
    </row>
    <row r="103" ht="15.75" customHeight="1">
      <c r="A103" s="386"/>
      <c r="B103" s="44" t="str">
        <f>IFERROR(VLOOKUP(A103,PRODUCTOS!$A$6:$B$35,2,FALSE),"")</f>
      </c>
      <c r="C103" s="386"/>
      <c r="D103" s="386"/>
      <c r="E103" s="412"/>
      <c r="F103" s="386"/>
      <c r="G103" s="24">
        <f t="shared" si="1"/>
        <v>0</v>
      </c>
      <c r="H103" s="386"/>
      <c r="I103" s="386"/>
      <c r="J103" s="420"/>
      <c r="K103" s="47" t="n">
        <f>IF(AND(C103="Comisiones",H103="Sí"),IFERROR(J103*VLOOKUP(A103,PRODUCTOS!$A$6:$G$35,7,FALSE)*VLOOKUP(A103,PRODUCTOS!$A$6:$C$35,3,FALSE),0),0)</f>
        <v>0</v>
      </c>
      <c r="L103" s="3"/>
      <c r="M103" s="3"/>
    </row>
    <row r="104" ht="15.75" customHeight="1">
      <c r="A104" s="386"/>
      <c r="B104" s="44" t="str">
        <f>IFERROR(VLOOKUP(A104,PRODUCTOS!$A$6:$B$35,2,FALSE),"")</f>
      </c>
      <c r="C104" s="386"/>
      <c r="D104" s="386"/>
      <c r="E104" s="412"/>
      <c r="F104" s="386"/>
      <c r="G104" s="24">
        <f t="shared" si="1"/>
        <v>0</v>
      </c>
      <c r="H104" s="386"/>
      <c r="I104" s="386"/>
      <c r="J104" s="420"/>
      <c r="K104" s="47" t="n">
        <f>IF(AND(C104="Comisiones",H104="Sí"),IFERROR(J104*VLOOKUP(A104,PRODUCTOS!$A$6:$G$35,7,FALSE)*VLOOKUP(A104,PRODUCTOS!$A$6:$C$35,3,FALSE),0),0)</f>
        <v>0</v>
      </c>
      <c r="L104" s="3"/>
      <c r="M104" s="3"/>
    </row>
    <row r="105" ht="15.75" customHeight="1">
      <c r="A105" s="386"/>
      <c r="B105" s="44" t="str">
        <f>IFERROR(VLOOKUP(A105,PRODUCTOS!$A$6:$B$35,2,FALSE),"")</f>
      </c>
      <c r="C105" s="386"/>
      <c r="D105" s="386"/>
      <c r="E105" s="412"/>
      <c r="F105" s="386"/>
      <c r="G105" s="24">
        <f t="shared" si="1"/>
        <v>0</v>
      </c>
      <c r="H105" s="386"/>
      <c r="I105" s="386"/>
      <c r="J105" s="420"/>
      <c r="K105" s="47" t="n">
        <f>IF(AND(C105="Comisiones",H105="Sí"),IFERROR(J105*VLOOKUP(A105,PRODUCTOS!$A$6:$G$35,7,FALSE)*VLOOKUP(A105,PRODUCTOS!$A$6:$C$35,3,FALSE),0),0)</f>
        <v>0</v>
      </c>
      <c r="L105" s="3"/>
      <c r="M105" s="3"/>
    </row>
    <row r="106" ht="15.75" customHeight="1">
      <c r="A106" s="386"/>
      <c r="B106" s="44" t="str">
        <f>IFERROR(VLOOKUP(A106,PRODUCTOS!$A$6:$B$35,2,FALSE),"")</f>
      </c>
      <c r="C106" s="386"/>
      <c r="D106" s="386"/>
      <c r="E106" s="412"/>
      <c r="F106" s="386"/>
      <c r="G106" s="24">
        <f t="shared" si="1"/>
        <v>0</v>
      </c>
      <c r="H106" s="386"/>
      <c r="I106" s="386"/>
      <c r="J106" s="420"/>
      <c r="K106" s="47" t="n">
        <f>IF(AND(C106="Comisiones",H106="Sí"),IFERROR(J106*VLOOKUP(A106,PRODUCTOS!$A$6:$G$35,7,FALSE)*VLOOKUP(A106,PRODUCTOS!$A$6:$C$35,3,FALSE),0),0)</f>
        <v>0</v>
      </c>
      <c r="L106" s="3"/>
      <c r="M106" s="3"/>
    </row>
    <row r="107" ht="15.75" customHeight="1">
      <c r="A107" s="386"/>
      <c r="B107" s="44" t="str">
        <f>IFERROR(VLOOKUP(A107,PRODUCTOS!$A$6:$B$35,2,FALSE),"")</f>
      </c>
      <c r="C107" s="386"/>
      <c r="D107" s="386"/>
      <c r="E107" s="412"/>
      <c r="F107" s="386"/>
      <c r="G107" s="24">
        <f t="shared" si="1"/>
        <v>0</v>
      </c>
      <c r="H107" s="386"/>
      <c r="I107" s="386"/>
      <c r="J107" s="420"/>
      <c r="K107" s="47" t="n">
        <f>IF(AND(C107="Comisiones",H107="Sí"),IFERROR(J107*VLOOKUP(A107,PRODUCTOS!$A$6:$G$35,7,FALSE)*VLOOKUP(A107,PRODUCTOS!$A$6:$C$35,3,FALSE),0),0)</f>
        <v>0</v>
      </c>
      <c r="L107" s="3"/>
      <c r="M107" s="3"/>
    </row>
    <row r="108" ht="15.75" customHeight="1">
      <c r="A108" s="386"/>
      <c r="B108" s="44" t="str">
        <f>IFERROR(VLOOKUP(A108,PRODUCTOS!$A$6:$B$35,2,FALSE),"")</f>
      </c>
      <c r="C108" s="386"/>
      <c r="D108" s="386"/>
      <c r="E108" s="412"/>
      <c r="F108" s="386"/>
      <c r="G108" s="24">
        <f t="shared" si="1"/>
        <v>0</v>
      </c>
      <c r="H108" s="386"/>
      <c r="I108" s="386"/>
      <c r="J108" s="420"/>
      <c r="K108" s="47" t="n">
        <f>IF(AND(C108="Comisiones",H108="Sí"),IFERROR(J108*VLOOKUP(A108,PRODUCTOS!$A$6:$G$35,7,FALSE)*VLOOKUP(A108,PRODUCTOS!$A$6:$C$35,3,FALSE),0),0)</f>
        <v>0</v>
      </c>
      <c r="L108" s="3"/>
      <c r="M108" s="3"/>
    </row>
    <row r="109" ht="15.75" customHeight="1">
      <c r="A109" s="386"/>
      <c r="B109" s="44" t="str">
        <f>IFERROR(VLOOKUP(A109,PRODUCTOS!$A$6:$B$35,2,FALSE),"")</f>
      </c>
      <c r="C109" s="386"/>
      <c r="D109" s="386"/>
      <c r="E109" s="412"/>
      <c r="F109" s="386"/>
      <c r="G109" s="24">
        <f t="shared" si="1"/>
        <v>0</v>
      </c>
      <c r="H109" s="386"/>
      <c r="I109" s="386"/>
      <c r="J109" s="420"/>
      <c r="K109" s="47" t="n">
        <f>IF(AND(C109="Comisiones",H109="Sí"),IFERROR(J109*VLOOKUP(A109,PRODUCTOS!$A$6:$G$35,7,FALSE)*VLOOKUP(A109,PRODUCTOS!$A$6:$C$35,3,FALSE),0),0)</f>
        <v>0</v>
      </c>
      <c r="L109" s="3"/>
      <c r="M109" s="3"/>
    </row>
    <row r="110" ht="15.75" customHeight="1">
      <c r="A110" s="386"/>
      <c r="B110" s="44" t="str">
        <f>IFERROR(VLOOKUP(A110,PRODUCTOS!$A$6:$B$35,2,FALSE),"")</f>
      </c>
      <c r="C110" s="386"/>
      <c r="D110" s="386"/>
      <c r="E110" s="412"/>
      <c r="F110" s="386"/>
      <c r="G110" s="24">
        <f t="shared" si="1"/>
        <v>0</v>
      </c>
      <c r="H110" s="386"/>
      <c r="I110" s="386"/>
      <c r="J110" s="420"/>
      <c r="K110" s="47" t="n">
        <f>IF(AND(C110="Comisiones",H110="Sí"),IFERROR(J110*VLOOKUP(A110,PRODUCTOS!$A$6:$G$35,7,FALSE)*VLOOKUP(A110,PRODUCTOS!$A$6:$C$35,3,FALSE),0),0)</f>
        <v>0</v>
      </c>
      <c r="L110" s="3"/>
      <c r="M110" s="3"/>
    </row>
    <row r="111" ht="15.75" customHeight="1">
      <c r="A111" s="386"/>
      <c r="B111" s="44" t="str">
        <f>IFERROR(VLOOKUP(A111,PRODUCTOS!$A$6:$B$35,2,FALSE),"")</f>
      </c>
      <c r="C111" s="386"/>
      <c r="D111" s="386"/>
      <c r="E111" s="412"/>
      <c r="F111" s="386"/>
      <c r="G111" s="24">
        <f t="shared" si="1"/>
        <v>0</v>
      </c>
      <c r="H111" s="386"/>
      <c r="I111" s="386"/>
      <c r="J111" s="420"/>
      <c r="K111" s="47" t="n">
        <f>IF(AND(C111="Comisiones",H111="Sí"),IFERROR(J111*VLOOKUP(A111,PRODUCTOS!$A$6:$G$35,7,FALSE)*VLOOKUP(A111,PRODUCTOS!$A$6:$C$35,3,FALSE),0),0)</f>
        <v>0</v>
      </c>
      <c r="L111" s="3"/>
      <c r="M111" s="3"/>
    </row>
    <row r="112" ht="15.75" customHeight="1">
      <c r="A112" s="386"/>
      <c r="B112" s="44" t="str">
        <f>IFERROR(VLOOKUP(A112,PRODUCTOS!$A$6:$B$35,2,FALSE),"")</f>
      </c>
      <c r="C112" s="386"/>
      <c r="D112" s="386"/>
      <c r="E112" s="412"/>
      <c r="F112" s="386"/>
      <c r="G112" s="24">
        <f t="shared" si="1"/>
        <v>0</v>
      </c>
      <c r="H112" s="386"/>
      <c r="I112" s="386"/>
      <c r="J112" s="420"/>
      <c r="K112" s="47" t="n">
        <f>IF(AND(C112="Comisiones",H112="Sí"),IFERROR(J112*VLOOKUP(A112,PRODUCTOS!$A$6:$G$35,7,FALSE)*VLOOKUP(A112,PRODUCTOS!$A$6:$C$35,3,FALSE),0),0)</f>
        <v>0</v>
      </c>
      <c r="L112" s="3"/>
      <c r="M112" s="3"/>
    </row>
    <row r="113" ht="15.75" customHeight="1">
      <c r="A113" s="386"/>
      <c r="B113" s="44" t="str">
        <f>IFERROR(VLOOKUP(A113,PRODUCTOS!$A$6:$B$35,2,FALSE),"")</f>
      </c>
      <c r="C113" s="386"/>
      <c r="D113" s="386"/>
      <c r="E113" s="412"/>
      <c r="F113" s="386"/>
      <c r="G113" s="24">
        <f t="shared" si="1"/>
        <v>0</v>
      </c>
      <c r="H113" s="386"/>
      <c r="I113" s="386"/>
      <c r="J113" s="420"/>
      <c r="K113" s="47" t="n">
        <f>IF(AND(C113="Comisiones",H113="Sí"),IFERROR(J113*VLOOKUP(A113,PRODUCTOS!$A$6:$G$35,7,FALSE)*VLOOKUP(A113,PRODUCTOS!$A$6:$C$35,3,FALSE),0),0)</f>
        <v>0</v>
      </c>
      <c r="L113" s="3"/>
      <c r="M113" s="3"/>
    </row>
    <row r="114" ht="15.75" customHeight="1">
      <c r="A114" s="386"/>
      <c r="B114" s="44" t="str">
        <f>IFERROR(VLOOKUP(A114,PRODUCTOS!$A$6:$B$35,2,FALSE),"")</f>
      </c>
      <c r="C114" s="386"/>
      <c r="D114" s="386"/>
      <c r="E114" s="412"/>
      <c r="F114" s="386"/>
      <c r="G114" s="24">
        <f t="shared" si="1"/>
        <v>0</v>
      </c>
      <c r="H114" s="386"/>
      <c r="I114" s="386"/>
      <c r="J114" s="420"/>
      <c r="K114" s="47" t="n">
        <f>IF(AND(C114="Comisiones",H114="Sí"),IFERROR(J114*VLOOKUP(A114,PRODUCTOS!$A$6:$G$35,7,FALSE)*VLOOKUP(A114,PRODUCTOS!$A$6:$C$35,3,FALSE),0),0)</f>
        <v>0</v>
      </c>
      <c r="L114" s="3"/>
      <c r="M114" s="3"/>
    </row>
    <row r="115" ht="15.75" customHeight="1">
      <c r="A115" s="386"/>
      <c r="B115" s="44" t="str">
        <f>IFERROR(VLOOKUP(A115,PRODUCTOS!$A$6:$B$35,2,FALSE),"")</f>
      </c>
      <c r="C115" s="386"/>
      <c r="D115" s="386"/>
      <c r="E115" s="412"/>
      <c r="F115" s="386"/>
      <c r="G115" s="24">
        <f t="shared" si="1"/>
        <v>0</v>
      </c>
      <c r="H115" s="386"/>
      <c r="I115" s="386"/>
      <c r="J115" s="420"/>
      <c r="K115" s="47" t="n">
        <f>IF(AND(C115="Comisiones",H115="Sí"),IFERROR(J115*VLOOKUP(A115,PRODUCTOS!$A$6:$G$35,7,FALSE)*VLOOKUP(A115,PRODUCTOS!$A$6:$C$35,3,FALSE),0),0)</f>
        <v>0</v>
      </c>
      <c r="L115" s="3"/>
      <c r="M115" s="3"/>
    </row>
    <row r="116" ht="15.75" customHeight="1">
      <c r="A116" s="386"/>
      <c r="B116" s="44" t="str">
        <f>IFERROR(VLOOKUP(A116,PRODUCTOS!$A$6:$B$35,2,FALSE),"")</f>
      </c>
      <c r="C116" s="386"/>
      <c r="D116" s="386"/>
      <c r="E116" s="412"/>
      <c r="F116" s="386"/>
      <c r="G116" s="24">
        <f t="shared" si="1"/>
        <v>0</v>
      </c>
      <c r="H116" s="386"/>
      <c r="I116" s="386"/>
      <c r="J116" s="420"/>
      <c r="K116" s="47" t="n">
        <f>IF(AND(C116="Comisiones",H116="Sí"),IFERROR(J116*VLOOKUP(A116,PRODUCTOS!$A$6:$G$35,7,FALSE)*VLOOKUP(A116,PRODUCTOS!$A$6:$C$35,3,FALSE),0),0)</f>
        <v>0</v>
      </c>
      <c r="L116" s="3"/>
      <c r="M116" s="3"/>
    </row>
    <row r="117" ht="15.75" customHeight="1">
      <c r="A117" s="386"/>
      <c r="B117" s="44" t="str">
        <f>IFERROR(VLOOKUP(A117,PRODUCTOS!$A$6:$B$35,2,FALSE),"")</f>
      </c>
      <c r="C117" s="386"/>
      <c r="D117" s="386"/>
      <c r="E117" s="412"/>
      <c r="F117" s="386"/>
      <c r="G117" s="24">
        <f t="shared" si="1"/>
        <v>0</v>
      </c>
      <c r="H117" s="386"/>
      <c r="I117" s="386"/>
      <c r="J117" s="420"/>
      <c r="K117" s="47" t="n">
        <f>IF(AND(C117="Comisiones",H117="Sí"),IFERROR(J117*VLOOKUP(A117,PRODUCTOS!$A$6:$G$35,7,FALSE)*VLOOKUP(A117,PRODUCTOS!$A$6:$C$35,3,FALSE),0),0)</f>
        <v>0</v>
      </c>
      <c r="L117" s="3"/>
      <c r="M117" s="3"/>
    </row>
    <row r="118" ht="15.75" customHeight="1">
      <c r="A118" s="386"/>
      <c r="B118" s="44" t="str">
        <f>IFERROR(VLOOKUP(A118,PRODUCTOS!$A$6:$B$35,2,FALSE),"")</f>
      </c>
      <c r="C118" s="386"/>
      <c r="D118" s="386"/>
      <c r="E118" s="412"/>
      <c r="F118" s="386"/>
      <c r="G118" s="24">
        <f t="shared" si="1"/>
        <v>0</v>
      </c>
      <c r="H118" s="386"/>
      <c r="I118" s="386"/>
      <c r="J118" s="420"/>
      <c r="K118" s="47" t="n">
        <f>IF(AND(C118="Comisiones",H118="Sí"),IFERROR(J118*VLOOKUP(A118,PRODUCTOS!$A$6:$G$35,7,FALSE)*VLOOKUP(A118,PRODUCTOS!$A$6:$C$35,3,FALSE),0),0)</f>
        <v>0</v>
      </c>
      <c r="L118" s="3"/>
      <c r="M118" s="3"/>
    </row>
    <row r="119" ht="15.75" customHeight="1">
      <c r="A119" s="386"/>
      <c r="B119" s="44" t="str">
        <f>IFERROR(VLOOKUP(A119,PRODUCTOS!$A$6:$B$35,2,FALSE),"")</f>
      </c>
      <c r="C119" s="386"/>
      <c r="D119" s="386"/>
      <c r="E119" s="412"/>
      <c r="F119" s="386"/>
      <c r="G119" s="24">
        <f t="shared" si="1"/>
        <v>0</v>
      </c>
      <c r="H119" s="386"/>
      <c r="I119" s="386"/>
      <c r="J119" s="420"/>
      <c r="K119" s="47" t="n">
        <f>IF(AND(C119="Comisiones",H119="Sí"),IFERROR(J119*VLOOKUP(A119,PRODUCTOS!$A$6:$G$35,7,FALSE)*VLOOKUP(A119,PRODUCTOS!$A$6:$C$35,3,FALSE),0),0)</f>
        <v>0</v>
      </c>
      <c r="L119" s="3"/>
      <c r="M119" s="3"/>
    </row>
    <row r="120" ht="15.75" customHeight="1">
      <c r="A120" s="386"/>
      <c r="B120" s="44" t="str">
        <f>IFERROR(VLOOKUP(A120,PRODUCTOS!$A$6:$B$35,2,FALSE),"")</f>
      </c>
      <c r="C120" s="386"/>
      <c r="D120" s="386"/>
      <c r="E120" s="412"/>
      <c r="F120" s="386"/>
      <c r="G120" s="24">
        <f t="shared" si="1"/>
        <v>0</v>
      </c>
      <c r="H120" s="386"/>
      <c r="I120" s="386"/>
      <c r="J120" s="420"/>
      <c r="K120" s="47" t="n">
        <f>IF(AND(C120="Comisiones",H120="Sí"),IFERROR(J120*VLOOKUP(A120,PRODUCTOS!$A$6:$G$35,7,FALSE)*VLOOKUP(A120,PRODUCTOS!$A$6:$C$35,3,FALSE),0),0)</f>
        <v>0</v>
      </c>
      <c r="L120" s="3"/>
      <c r="M120" s="3"/>
    </row>
    <row r="121" ht="15.75" customHeight="1">
      <c r="A121" s="386"/>
      <c r="B121" s="44" t="str">
        <f>IFERROR(VLOOKUP(A121,PRODUCTOS!$A$6:$B$35,2,FALSE),"")</f>
      </c>
      <c r="C121" s="386"/>
      <c r="D121" s="386"/>
      <c r="E121" s="412"/>
      <c r="F121" s="386"/>
      <c r="G121" s="24">
        <f t="shared" si="1"/>
        <v>0</v>
      </c>
      <c r="H121" s="386"/>
      <c r="I121" s="386"/>
      <c r="J121" s="420"/>
      <c r="K121" s="47" t="n">
        <f>IF(AND(C121="Comisiones",H121="Sí"),IFERROR(J121*VLOOKUP(A121,PRODUCTOS!$A$6:$G$35,7,FALSE)*VLOOKUP(A121,PRODUCTOS!$A$6:$C$35,3,FALSE),0),0)</f>
        <v>0</v>
      </c>
      <c r="L121" s="3"/>
      <c r="M121" s="3"/>
    </row>
    <row r="122" ht="15.75" customHeight="1">
      <c r="A122" s="386"/>
      <c r="B122" s="44" t="str">
        <f>IFERROR(VLOOKUP(A122,PRODUCTOS!$A$6:$B$35,2,FALSE),"")</f>
      </c>
      <c r="C122" s="386"/>
      <c r="D122" s="386"/>
      <c r="E122" s="412"/>
      <c r="F122" s="386"/>
      <c r="G122" s="24">
        <f t="shared" si="1"/>
        <v>0</v>
      </c>
      <c r="H122" s="386"/>
      <c r="I122" s="386"/>
      <c r="J122" s="420"/>
      <c r="K122" s="47" t="n">
        <f>IF(AND(C122="Comisiones",H122="Sí"),IFERROR(J122*VLOOKUP(A122,PRODUCTOS!$A$6:$G$35,7,FALSE)*VLOOKUP(A122,PRODUCTOS!$A$6:$C$35,3,FALSE),0),0)</f>
        <v>0</v>
      </c>
      <c r="L122" s="3"/>
      <c r="M122" s="3"/>
    </row>
    <row r="123" ht="15.75" customHeight="1">
      <c r="A123" s="386"/>
      <c r="B123" s="44" t="str">
        <f>IFERROR(VLOOKUP(A123,PRODUCTOS!$A$6:$B$35,2,FALSE),"")</f>
      </c>
      <c r="C123" s="386"/>
      <c r="D123" s="386"/>
      <c r="E123" s="412"/>
      <c r="F123" s="386"/>
      <c r="G123" s="24">
        <f t="shared" si="1"/>
        <v>0</v>
      </c>
      <c r="H123" s="386"/>
      <c r="I123" s="386"/>
      <c r="J123" s="420"/>
      <c r="K123" s="47" t="n">
        <f>IF(AND(C123="Comisiones",H123="Sí"),IFERROR(J123*VLOOKUP(A123,PRODUCTOS!$A$6:$G$35,7,FALSE)*VLOOKUP(A123,PRODUCTOS!$A$6:$C$35,3,FALSE),0),0)</f>
        <v>0</v>
      </c>
      <c r="L123" s="3"/>
      <c r="M123" s="3"/>
    </row>
    <row r="124" ht="15.75" customHeight="1">
      <c r="A124" s="386"/>
      <c r="B124" s="44" t="str">
        <f>IFERROR(VLOOKUP(A124,PRODUCTOS!$A$6:$B$35,2,FALSE),"")</f>
      </c>
      <c r="C124" s="386"/>
      <c r="D124" s="386"/>
      <c r="E124" s="412"/>
      <c r="F124" s="386"/>
      <c r="G124" s="24">
        <f t="shared" si="1"/>
        <v>0</v>
      </c>
      <c r="H124" s="386"/>
      <c r="I124" s="386"/>
      <c r="J124" s="420"/>
      <c r="K124" s="47" t="n">
        <f>IF(AND(C124="Comisiones",H124="Sí"),IFERROR(J124*VLOOKUP(A124,PRODUCTOS!$A$6:$G$35,7,FALSE)*VLOOKUP(A124,PRODUCTOS!$A$6:$C$35,3,FALSE),0),0)</f>
        <v>0</v>
      </c>
      <c r="L124" s="3"/>
      <c r="M124" s="3"/>
    </row>
    <row r="125" ht="15.75" customHeight="1">
      <c r="A125" s="386"/>
      <c r="B125" s="44" t="str">
        <f>IFERROR(VLOOKUP(A125,PRODUCTOS!$A$6:$B$35,2,FALSE),"")</f>
      </c>
      <c r="C125" s="386"/>
      <c r="D125" s="386"/>
      <c r="E125" s="412"/>
      <c r="F125" s="386"/>
      <c r="G125" s="24">
        <f t="shared" si="1"/>
        <v>0</v>
      </c>
      <c r="H125" s="386"/>
      <c r="I125" s="386"/>
      <c r="J125" s="420"/>
      <c r="K125" s="47" t="n">
        <f>IF(AND(C125="Comisiones",H125="Sí"),IFERROR(J125*VLOOKUP(A125,PRODUCTOS!$A$6:$G$35,7,FALSE)*VLOOKUP(A125,PRODUCTOS!$A$6:$C$35,3,FALSE),0),0)</f>
        <v>0</v>
      </c>
      <c r="L125" s="3"/>
      <c r="M125" s="3"/>
    </row>
    <row r="126" ht="15.75" customHeight="1">
      <c r="A126" s="386"/>
      <c r="B126" s="44" t="str">
        <f>IFERROR(VLOOKUP(A126,PRODUCTOS!$A$6:$B$35,2,FALSE),"")</f>
      </c>
      <c r="C126" s="386"/>
      <c r="D126" s="386"/>
      <c r="E126" s="412"/>
      <c r="F126" s="386"/>
      <c r="G126" s="24">
        <f t="shared" si="1"/>
        <v>0</v>
      </c>
      <c r="H126" s="386"/>
      <c r="I126" s="386"/>
      <c r="J126" s="420"/>
      <c r="K126" s="47" t="n">
        <f>IF(AND(C126="Comisiones",H126="Sí"),IFERROR(J126*VLOOKUP(A126,PRODUCTOS!$A$6:$G$35,7,FALSE)*VLOOKUP(A126,PRODUCTOS!$A$6:$C$35,3,FALSE),0),0)</f>
        <v>0</v>
      </c>
      <c r="L126" s="3"/>
      <c r="M126" s="3"/>
    </row>
    <row r="127" ht="15.75" customHeight="1">
      <c r="A127" s="386"/>
      <c r="B127" s="44" t="str">
        <f>IFERROR(VLOOKUP(A127,PRODUCTOS!$A$6:$B$35,2,FALSE),"")</f>
      </c>
      <c r="C127" s="386"/>
      <c r="D127" s="386"/>
      <c r="E127" s="412"/>
      <c r="F127" s="386"/>
      <c r="G127" s="24">
        <f t="shared" si="1"/>
        <v>0</v>
      </c>
      <c r="H127" s="386"/>
      <c r="I127" s="386"/>
      <c r="J127" s="420"/>
      <c r="K127" s="47" t="n">
        <f>IF(AND(C127="Comisiones",H127="Sí"),IFERROR(J127*VLOOKUP(A127,PRODUCTOS!$A$6:$G$35,7,FALSE)*VLOOKUP(A127,PRODUCTOS!$A$6:$C$35,3,FALSE),0),0)</f>
        <v>0</v>
      </c>
      <c r="L127" s="3"/>
      <c r="M127" s="3"/>
    </row>
    <row r="128" ht="15.75" customHeight="1">
      <c r="A128" s="386"/>
      <c r="B128" s="44" t="str">
        <f>IFERROR(VLOOKUP(A128,PRODUCTOS!$A$6:$B$35,2,FALSE),"")</f>
      </c>
      <c r="C128" s="386"/>
      <c r="D128" s="386"/>
      <c r="E128" s="412"/>
      <c r="F128" s="386"/>
      <c r="G128" s="24">
        <f t="shared" si="1"/>
        <v>0</v>
      </c>
      <c r="H128" s="386"/>
      <c r="I128" s="386"/>
      <c r="J128" s="420"/>
      <c r="K128" s="47" t="n">
        <f>IF(AND(C128="Comisiones",H128="Sí"),IFERROR(J128*VLOOKUP(A128,PRODUCTOS!$A$6:$G$35,7,FALSE)*VLOOKUP(A128,PRODUCTOS!$A$6:$C$35,3,FALSE),0),0)</f>
        <v>0</v>
      </c>
      <c r="L128" s="3"/>
      <c r="M128" s="3"/>
    </row>
    <row r="129" ht="15.75" customHeight="1">
      <c r="A129" s="386"/>
      <c r="B129" s="44" t="str">
        <f>IFERROR(VLOOKUP(A129,PRODUCTOS!$A$6:$B$35,2,FALSE),"")</f>
      </c>
      <c r="C129" s="386"/>
      <c r="D129" s="386"/>
      <c r="E129" s="412"/>
      <c r="F129" s="386"/>
      <c r="G129" s="24">
        <f t="shared" si="1"/>
        <v>0</v>
      </c>
      <c r="H129" s="386"/>
      <c r="I129" s="386"/>
      <c r="J129" s="420"/>
      <c r="K129" s="47" t="n">
        <f>IF(AND(C129="Comisiones",H129="Sí"),IFERROR(J129*VLOOKUP(A129,PRODUCTOS!$A$6:$G$35,7,FALSE)*VLOOKUP(A129,PRODUCTOS!$A$6:$C$35,3,FALSE),0),0)</f>
        <v>0</v>
      </c>
      <c r="L129" s="3"/>
      <c r="M129" s="3"/>
    </row>
    <row r="130" ht="15.75" customHeight="1">
      <c r="A130" s="386"/>
      <c r="B130" s="44" t="str">
        <f>IFERROR(VLOOKUP(A130,PRODUCTOS!$A$6:$B$35,2,FALSE),"")</f>
      </c>
      <c r="C130" s="386"/>
      <c r="D130" s="386"/>
      <c r="E130" s="412"/>
      <c r="F130" s="386"/>
      <c r="G130" s="24">
        <f t="shared" si="1"/>
        <v>0</v>
      </c>
      <c r="H130" s="386"/>
      <c r="I130" s="386"/>
      <c r="J130" s="420"/>
      <c r="K130" s="47" t="n">
        <f>IF(AND(C130="Comisiones",H130="Sí"),IFERROR(J130*VLOOKUP(A130,PRODUCTOS!$A$6:$G$35,7,FALSE)*VLOOKUP(A130,PRODUCTOS!$A$6:$C$35,3,FALSE),0),0)</f>
        <v>0</v>
      </c>
      <c r="L130" s="3"/>
      <c r="M130" s="3"/>
    </row>
    <row r="131" ht="15.75" customHeight="1">
      <c r="A131" s="386"/>
      <c r="B131" s="44" t="str">
        <f>IFERROR(VLOOKUP(A131,PRODUCTOS!$A$6:$B$35,2,FALSE),"")</f>
      </c>
      <c r="C131" s="386"/>
      <c r="D131" s="386"/>
      <c r="E131" s="412"/>
      <c r="F131" s="386"/>
      <c r="G131" s="24">
        <f t="shared" si="1"/>
        <v>0</v>
      </c>
      <c r="H131" s="386"/>
      <c r="I131" s="386"/>
      <c r="J131" s="420"/>
      <c r="K131" s="47" t="n">
        <f>IF(AND(C131="Comisiones",H131="Sí"),IFERROR(J131*VLOOKUP(A131,PRODUCTOS!$A$6:$G$35,7,FALSE)*VLOOKUP(A131,PRODUCTOS!$A$6:$C$35,3,FALSE),0),0)</f>
        <v>0</v>
      </c>
      <c r="L131" s="3"/>
      <c r="M131" s="3"/>
    </row>
    <row r="132" ht="15.75" customHeight="1">
      <c r="A132" s="386"/>
      <c r="B132" s="44" t="str">
        <f>IFERROR(VLOOKUP(A132,PRODUCTOS!$A$6:$B$35,2,FALSE),"")</f>
      </c>
      <c r="C132" s="386"/>
      <c r="D132" s="386"/>
      <c r="E132" s="412"/>
      <c r="F132" s="386"/>
      <c r="G132" s="24">
        <f t="shared" si="1"/>
        <v>0</v>
      </c>
      <c r="H132" s="386"/>
      <c r="I132" s="386"/>
      <c r="J132" s="420"/>
      <c r="K132" s="47" t="n">
        <f>IF(AND(C132="Comisiones",H132="Sí"),IFERROR(J132*VLOOKUP(A132,PRODUCTOS!$A$6:$G$35,7,FALSE)*VLOOKUP(A132,PRODUCTOS!$A$6:$C$35,3,FALSE),0),0)</f>
        <v>0</v>
      </c>
      <c r="L132" s="3"/>
      <c r="M132" s="3"/>
    </row>
    <row r="133" ht="15.75" customHeight="1">
      <c r="A133" s="386"/>
      <c r="B133" s="44" t="str">
        <f>IFERROR(VLOOKUP(A133,PRODUCTOS!$A$6:$B$35,2,FALSE),"")</f>
      </c>
      <c r="C133" s="386"/>
      <c r="D133" s="386"/>
      <c r="E133" s="412"/>
      <c r="F133" s="386"/>
      <c r="G133" s="24">
        <f t="shared" si="1"/>
        <v>0</v>
      </c>
      <c r="H133" s="386"/>
      <c r="I133" s="386"/>
      <c r="J133" s="420"/>
      <c r="K133" s="47" t="n">
        <f>IF(AND(C133="Comisiones",H133="Sí"),IFERROR(J133*VLOOKUP(A133,PRODUCTOS!$A$6:$G$35,7,FALSE)*VLOOKUP(A133,PRODUCTOS!$A$6:$C$35,3,FALSE),0),0)</f>
        <v>0</v>
      </c>
      <c r="L133" s="3"/>
      <c r="M133" s="3"/>
    </row>
    <row r="134" ht="15.75" customHeight="1">
      <c r="A134" s="386"/>
      <c r="B134" s="44" t="str">
        <f>IFERROR(VLOOKUP(A134,PRODUCTOS!$A$6:$B$35,2,FALSE),"")</f>
      </c>
      <c r="C134" s="386"/>
      <c r="D134" s="386"/>
      <c r="E134" s="412"/>
      <c r="F134" s="386"/>
      <c r="G134" s="24">
        <f t="shared" si="1"/>
        <v>0</v>
      </c>
      <c r="H134" s="386"/>
      <c r="I134" s="386"/>
      <c r="J134" s="420"/>
      <c r="K134" s="47" t="n">
        <f>IF(AND(C134="Comisiones",H134="Sí"),IFERROR(J134*VLOOKUP(A134,PRODUCTOS!$A$6:$G$35,7,FALSE)*VLOOKUP(A134,PRODUCTOS!$A$6:$C$35,3,FALSE),0),0)</f>
        <v>0</v>
      </c>
      <c r="L134" s="3"/>
      <c r="M134" s="3"/>
    </row>
    <row r="135" ht="15.75" customHeight="1">
      <c r="A135" s="386"/>
      <c r="B135" s="44" t="str">
        <f>IFERROR(VLOOKUP(A135,PRODUCTOS!$A$6:$B$35,2,FALSE),"")</f>
      </c>
      <c r="C135" s="386"/>
      <c r="D135" s="386"/>
      <c r="E135" s="412"/>
      <c r="F135" s="386"/>
      <c r="G135" s="24">
        <f t="shared" si="1"/>
        <v>0</v>
      </c>
      <c r="H135" s="386"/>
      <c r="I135" s="386"/>
      <c r="J135" s="420"/>
      <c r="K135" s="47" t="n">
        <f>IF(AND(C135="Comisiones",H135="Sí"),IFERROR(J135*VLOOKUP(A135,PRODUCTOS!$A$6:$G$35,7,FALSE)*VLOOKUP(A135,PRODUCTOS!$A$6:$C$35,3,FALSE),0),0)</f>
        <v>0</v>
      </c>
      <c r="L135" s="3"/>
      <c r="M135" s="3"/>
    </row>
    <row r="136" ht="15.75" customHeight="1">
      <c r="A136" s="386"/>
      <c r="B136" s="44" t="str">
        <f>IFERROR(VLOOKUP(A136,PRODUCTOS!$A$6:$B$35,2,FALSE),"")</f>
      </c>
      <c r="C136" s="386"/>
      <c r="D136" s="386"/>
      <c r="E136" s="412"/>
      <c r="F136" s="386"/>
      <c r="G136" s="24">
        <f t="shared" si="1"/>
        <v>0</v>
      </c>
      <c r="H136" s="386"/>
      <c r="I136" s="386"/>
      <c r="J136" s="420"/>
      <c r="K136" s="47" t="n">
        <f>IF(AND(C136="Comisiones",H136="Sí"),IFERROR(J136*VLOOKUP(A136,PRODUCTOS!$A$6:$G$35,7,FALSE)*VLOOKUP(A136,PRODUCTOS!$A$6:$C$35,3,FALSE),0),0)</f>
        <v>0</v>
      </c>
      <c r="L136" s="3"/>
      <c r="M136" s="3"/>
    </row>
    <row r="137" ht="15.75" customHeight="1">
      <c r="A137" s="386"/>
      <c r="B137" s="44" t="str">
        <f>IFERROR(VLOOKUP(A137,PRODUCTOS!$A$6:$B$35,2,FALSE),"")</f>
      </c>
      <c r="C137" s="386"/>
      <c r="D137" s="386"/>
      <c r="E137" s="412"/>
      <c r="F137" s="386"/>
      <c r="G137" s="24">
        <f t="shared" si="1"/>
        <v>0</v>
      </c>
      <c r="H137" s="386"/>
      <c r="I137" s="386"/>
      <c r="J137" s="420"/>
      <c r="K137" s="47" t="n">
        <f>IF(AND(C137="Comisiones",H137="Sí"),IFERROR(J137*VLOOKUP(A137,PRODUCTOS!$A$6:$G$35,7,FALSE)*VLOOKUP(A137,PRODUCTOS!$A$6:$C$35,3,FALSE),0),0)</f>
        <v>0</v>
      </c>
      <c r="L137" s="3"/>
      <c r="M137" s="3"/>
    </row>
    <row r="138" ht="15.75" customHeight="1">
      <c r="A138" s="386"/>
      <c r="B138" s="44" t="str">
        <f>IFERROR(VLOOKUP(A138,PRODUCTOS!$A$6:$B$35,2,FALSE),"")</f>
      </c>
      <c r="C138" s="386"/>
      <c r="D138" s="386"/>
      <c r="E138" s="412"/>
      <c r="F138" s="386"/>
      <c r="G138" s="24">
        <f t="shared" si="1"/>
        <v>0</v>
      </c>
      <c r="H138" s="386"/>
      <c r="I138" s="386"/>
      <c r="J138" s="420"/>
      <c r="K138" s="47" t="n">
        <f>IF(AND(C138="Comisiones",H138="Sí"),IFERROR(J138*VLOOKUP(A138,PRODUCTOS!$A$6:$G$35,7,FALSE)*VLOOKUP(A138,PRODUCTOS!$A$6:$C$35,3,FALSE),0),0)</f>
        <v>0</v>
      </c>
      <c r="L138" s="3"/>
      <c r="M138" s="3"/>
    </row>
    <row r="139" ht="15.75" customHeight="1">
      <c r="A139" s="386"/>
      <c r="B139" s="44" t="str">
        <f>IFERROR(VLOOKUP(A139,PRODUCTOS!$A$6:$B$35,2,FALSE),"")</f>
      </c>
      <c r="C139" s="386"/>
      <c r="D139" s="386"/>
      <c r="E139" s="412"/>
      <c r="F139" s="386"/>
      <c r="G139" s="24">
        <f t="shared" si="1"/>
        <v>0</v>
      </c>
      <c r="H139" s="386"/>
      <c r="I139" s="386"/>
      <c r="J139" s="420"/>
      <c r="K139" s="47" t="n">
        <f>IF(AND(C139="Comisiones",H139="Sí"),IFERROR(J139*VLOOKUP(A139,PRODUCTOS!$A$6:$G$35,7,FALSE)*VLOOKUP(A139,PRODUCTOS!$A$6:$C$35,3,FALSE),0),0)</f>
        <v>0</v>
      </c>
      <c r="L139" s="3"/>
      <c r="M139" s="3"/>
    </row>
    <row r="140" ht="15.75" customHeight="1">
      <c r="A140" s="386"/>
      <c r="B140" s="44" t="str">
        <f>IFERROR(VLOOKUP(A140,PRODUCTOS!$A$6:$B$35,2,FALSE),"")</f>
      </c>
      <c r="C140" s="386"/>
      <c r="D140" s="386"/>
      <c r="E140" s="412"/>
      <c r="F140" s="386"/>
      <c r="G140" s="24">
        <f t="shared" si="1"/>
        <v>0</v>
      </c>
      <c r="H140" s="386"/>
      <c r="I140" s="386"/>
      <c r="J140" s="420"/>
      <c r="K140" s="47" t="n">
        <f>IF(AND(C140="Comisiones",H140="Sí"),IFERROR(J140*VLOOKUP(A140,PRODUCTOS!$A$6:$G$35,7,FALSE)*VLOOKUP(A140,PRODUCTOS!$A$6:$C$35,3,FALSE),0),0)</f>
        <v>0</v>
      </c>
      <c r="L140" s="3"/>
      <c r="M140" s="3"/>
    </row>
    <row r="141" ht="15.75" customHeight="1">
      <c r="A141" s="386"/>
      <c r="B141" s="44" t="str">
        <f>IFERROR(VLOOKUP(A141,PRODUCTOS!$A$6:$B$35,2,FALSE),"")</f>
      </c>
      <c r="C141" s="386"/>
      <c r="D141" s="386"/>
      <c r="E141" s="412"/>
      <c r="F141" s="386"/>
      <c r="G141" s="24">
        <f t="shared" si="1"/>
        <v>0</v>
      </c>
      <c r="H141" s="386"/>
      <c r="I141" s="386"/>
      <c r="J141" s="420"/>
      <c r="K141" s="47" t="n">
        <f>IF(AND(C141="Comisiones",H141="Sí"),IFERROR(J141*VLOOKUP(A141,PRODUCTOS!$A$6:$G$35,7,FALSE)*VLOOKUP(A141,PRODUCTOS!$A$6:$C$35,3,FALSE),0),0)</f>
        <v>0</v>
      </c>
      <c r="L141" s="3"/>
      <c r="M141" s="3"/>
    </row>
    <row r="142" ht="15.75" customHeight="1">
      <c r="A142" s="386"/>
      <c r="B142" s="44" t="str">
        <f>IFERROR(VLOOKUP(A142,PRODUCTOS!$A$6:$B$35,2,FALSE),"")</f>
      </c>
      <c r="C142" s="386"/>
      <c r="D142" s="386"/>
      <c r="E142" s="412"/>
      <c r="F142" s="386"/>
      <c r="G142" s="24">
        <f t="shared" si="1"/>
        <v>0</v>
      </c>
      <c r="H142" s="386"/>
      <c r="I142" s="386"/>
      <c r="J142" s="420"/>
      <c r="K142" s="47" t="n">
        <f>IF(AND(C142="Comisiones",H142="Sí"),IFERROR(J142*VLOOKUP(A142,PRODUCTOS!$A$6:$G$35,7,FALSE)*VLOOKUP(A142,PRODUCTOS!$A$6:$C$35,3,FALSE),0),0)</f>
        <v>0</v>
      </c>
      <c r="L142" s="3"/>
      <c r="M142" s="3"/>
    </row>
    <row r="143" ht="15.75" customHeight="1">
      <c r="A143" s="386"/>
      <c r="B143" s="44" t="str">
        <f>IFERROR(VLOOKUP(A143,PRODUCTOS!$A$6:$B$35,2,FALSE),"")</f>
      </c>
      <c r="C143" s="386"/>
      <c r="D143" s="386"/>
      <c r="E143" s="412"/>
      <c r="F143" s="386"/>
      <c r="G143" s="24">
        <f t="shared" si="1"/>
        <v>0</v>
      </c>
      <c r="H143" s="386"/>
      <c r="I143" s="386"/>
      <c r="J143" s="420"/>
      <c r="K143" s="47" t="n">
        <f>IF(AND(C143="Comisiones",H143="Sí"),IFERROR(J143*VLOOKUP(A143,PRODUCTOS!$A$6:$G$35,7,FALSE)*VLOOKUP(A143,PRODUCTOS!$A$6:$C$35,3,FALSE),0),0)</f>
        <v>0</v>
      </c>
      <c r="L143" s="3"/>
      <c r="M143" s="3"/>
    </row>
    <row r="144" ht="15.75" customHeight="1">
      <c r="A144" s="386"/>
      <c r="B144" s="44" t="str">
        <f>IFERROR(VLOOKUP(A144,PRODUCTOS!$A$6:$B$35,2,FALSE),"")</f>
      </c>
      <c r="C144" s="386"/>
      <c r="D144" s="386"/>
      <c r="E144" s="412"/>
      <c r="F144" s="386"/>
      <c r="G144" s="24">
        <f t="shared" si="1"/>
        <v>0</v>
      </c>
      <c r="H144" s="386"/>
      <c r="I144" s="386"/>
      <c r="J144" s="420"/>
      <c r="K144" s="47" t="n">
        <f>IF(AND(C144="Comisiones",H144="Sí"),IFERROR(J144*VLOOKUP(A144,PRODUCTOS!$A$6:$G$35,7,FALSE)*VLOOKUP(A144,PRODUCTOS!$A$6:$C$35,3,FALSE),0),0)</f>
        <v>0</v>
      </c>
      <c r="L144" s="3"/>
      <c r="M144" s="3"/>
    </row>
    <row r="145" ht="15.75" customHeight="1">
      <c r="A145" s="386"/>
      <c r="B145" s="44" t="str">
        <f>IFERROR(VLOOKUP(A145,PRODUCTOS!$A$6:$B$35,2,FALSE),"")</f>
      </c>
      <c r="C145" s="386"/>
      <c r="D145" s="386"/>
      <c r="E145" s="412"/>
      <c r="F145" s="386"/>
      <c r="G145" s="24">
        <f t="shared" si="1"/>
        <v>0</v>
      </c>
      <c r="H145" s="386"/>
      <c r="I145" s="386"/>
      <c r="J145" s="420"/>
      <c r="K145" s="47" t="n">
        <f>IF(AND(C145="Comisiones",H145="Sí"),IFERROR(J145*VLOOKUP(A145,PRODUCTOS!$A$6:$G$35,7,FALSE)*VLOOKUP(A145,PRODUCTOS!$A$6:$C$35,3,FALSE),0),0)</f>
        <v>0</v>
      </c>
      <c r="L145" s="3"/>
      <c r="M145" s="3"/>
    </row>
    <row r="146" ht="15.75" customHeight="1">
      <c r="A146" s="386"/>
      <c r="B146" s="44" t="str">
        <f>IFERROR(VLOOKUP(A146,PRODUCTOS!$A$6:$B$35,2,FALSE),"")</f>
      </c>
      <c r="C146" s="386"/>
      <c r="D146" s="386"/>
      <c r="E146" s="412"/>
      <c r="F146" s="386"/>
      <c r="G146" s="24">
        <f t="shared" si="1"/>
        <v>0</v>
      </c>
      <c r="H146" s="386"/>
      <c r="I146" s="386"/>
      <c r="J146" s="420"/>
      <c r="K146" s="47" t="n">
        <f>IF(AND(C146="Comisiones",H146="Sí"),IFERROR(J146*VLOOKUP(A146,PRODUCTOS!$A$6:$G$35,7,FALSE)*VLOOKUP(A146,PRODUCTOS!$A$6:$C$35,3,FALSE),0),0)</f>
        <v>0</v>
      </c>
      <c r="L146" s="3"/>
      <c r="M146" s="3"/>
    </row>
    <row r="147" ht="15.75" customHeight="1">
      <c r="A147" s="386"/>
      <c r="B147" s="44" t="str">
        <f>IFERROR(VLOOKUP(A147,PRODUCTOS!$A$6:$B$35,2,FALSE),"")</f>
      </c>
      <c r="C147" s="386"/>
      <c r="D147" s="386"/>
      <c r="E147" s="412"/>
      <c r="F147" s="386"/>
      <c r="G147" s="24">
        <f t="shared" si="1"/>
        <v>0</v>
      </c>
      <c r="H147" s="386"/>
      <c r="I147" s="386"/>
      <c r="J147" s="420"/>
      <c r="K147" s="47" t="n">
        <f>IF(AND(C147="Comisiones",H147="Sí"),IFERROR(J147*VLOOKUP(A147,PRODUCTOS!$A$6:$G$35,7,FALSE)*VLOOKUP(A147,PRODUCTOS!$A$6:$C$35,3,FALSE),0),0)</f>
        <v>0</v>
      </c>
      <c r="L147" s="3"/>
      <c r="M147" s="3"/>
    </row>
    <row r="148" ht="15.75" customHeight="1">
      <c r="A148" s="386"/>
      <c r="B148" s="44" t="str">
        <f>IFERROR(VLOOKUP(A148,PRODUCTOS!$A$6:$B$35,2,FALSE),"")</f>
      </c>
      <c r="C148" s="386"/>
      <c r="D148" s="386"/>
      <c r="E148" s="412"/>
      <c r="F148" s="386"/>
      <c r="G148" s="24">
        <f t="shared" si="1"/>
        <v>0</v>
      </c>
      <c r="H148" s="386"/>
      <c r="I148" s="386"/>
      <c r="J148" s="420"/>
      <c r="K148" s="47" t="n">
        <f>IF(AND(C148="Comisiones",H148="Sí"),IFERROR(J148*VLOOKUP(A148,PRODUCTOS!$A$6:$G$35,7,FALSE)*VLOOKUP(A148,PRODUCTOS!$A$6:$C$35,3,FALSE),0),0)</f>
        <v>0</v>
      </c>
      <c r="L148" s="3"/>
      <c r="M148" s="3"/>
    </row>
    <row r="149" ht="15.75" customHeight="1">
      <c r="A149" s="386"/>
      <c r="B149" s="44" t="str">
        <f>IFERROR(VLOOKUP(A149,PRODUCTOS!$A$6:$B$35,2,FALSE),"")</f>
      </c>
      <c r="C149" s="386"/>
      <c r="D149" s="386"/>
      <c r="E149" s="412"/>
      <c r="F149" s="386"/>
      <c r="G149" s="24">
        <f t="shared" si="1"/>
        <v>0</v>
      </c>
      <c r="H149" s="386"/>
      <c r="I149" s="386"/>
      <c r="J149" s="420"/>
      <c r="K149" s="47" t="n">
        <f>IF(AND(C149="Comisiones",H149="Sí"),IFERROR(J149*VLOOKUP(A149,PRODUCTOS!$A$6:$G$35,7,FALSE)*VLOOKUP(A149,PRODUCTOS!$A$6:$C$35,3,FALSE),0),0)</f>
        <v>0</v>
      </c>
      <c r="L149" s="3"/>
      <c r="M149" s="3"/>
    </row>
    <row r="150" ht="15.75" customHeight="1">
      <c r="A150" s="386"/>
      <c r="B150" s="44" t="str">
        <f>IFERROR(VLOOKUP(A150,PRODUCTOS!$A$6:$B$35,2,FALSE),"")</f>
      </c>
      <c r="C150" s="386"/>
      <c r="D150" s="386"/>
      <c r="E150" s="412"/>
      <c r="F150" s="386"/>
      <c r="G150" s="24">
        <f t="shared" si="1"/>
        <v>0</v>
      </c>
      <c r="H150" s="386"/>
      <c r="I150" s="386"/>
      <c r="J150" s="420"/>
      <c r="K150" s="47" t="n">
        <f>IF(AND(C150="Comisiones",H150="Sí"),IFERROR(J150*VLOOKUP(A150,PRODUCTOS!$A$6:$G$35,7,FALSE)*VLOOKUP(A150,PRODUCTOS!$A$6:$C$35,3,FALSE),0),0)</f>
        <v>0</v>
      </c>
      <c r="L150" s="3"/>
      <c r="M150" s="3"/>
    </row>
    <row r="151" ht="15.75" customHeight="1">
      <c r="A151" s="386"/>
      <c r="B151" s="44" t="str">
        <f>IFERROR(VLOOKUP(A151,PRODUCTOS!$A$6:$B$35,2,FALSE),"")</f>
      </c>
      <c r="C151" s="386"/>
      <c r="D151" s="386"/>
      <c r="E151" s="412"/>
      <c r="F151" s="386"/>
      <c r="G151" s="24">
        <f t="shared" si="1"/>
        <v>0</v>
      </c>
      <c r="H151" s="386"/>
      <c r="I151" s="386"/>
      <c r="J151" s="420"/>
      <c r="K151" s="47" t="n">
        <f>IF(AND(C151="Comisiones",H151="Sí"),IFERROR(J151*VLOOKUP(A151,PRODUCTOS!$A$6:$G$35,7,FALSE)*VLOOKUP(A151,PRODUCTOS!$A$6:$C$35,3,FALSE),0),0)</f>
        <v>0</v>
      </c>
      <c r="L151" s="3"/>
      <c r="M151" s="3"/>
    </row>
    <row r="152" ht="15.75" customHeight="1">
      <c r="A152" s="386"/>
      <c r="B152" s="44" t="str">
        <f>IFERROR(VLOOKUP(A152,PRODUCTOS!$A$6:$B$35,2,FALSE),"")</f>
      </c>
      <c r="C152" s="386"/>
      <c r="D152" s="386"/>
      <c r="E152" s="412"/>
      <c r="F152" s="386"/>
      <c r="G152" s="24">
        <f t="shared" si="1"/>
        <v>0</v>
      </c>
      <c r="H152" s="386"/>
      <c r="I152" s="386"/>
      <c r="J152" s="420"/>
      <c r="K152" s="47" t="n">
        <f>IF(AND(C152="Comisiones",H152="Sí"),IFERROR(J152*VLOOKUP(A152,PRODUCTOS!$A$6:$G$35,7,FALSE)*VLOOKUP(A152,PRODUCTOS!$A$6:$C$35,3,FALSE),0),0)</f>
        <v>0</v>
      </c>
      <c r="L152" s="3"/>
      <c r="M152" s="3"/>
    </row>
    <row r="153" ht="15.75" customHeight="1">
      <c r="A153" s="386"/>
      <c r="B153" s="44" t="str">
        <f>IFERROR(VLOOKUP(A153,PRODUCTOS!$A$6:$B$35,2,FALSE),"")</f>
      </c>
      <c r="C153" s="386"/>
      <c r="D153" s="386"/>
      <c r="E153" s="412"/>
      <c r="F153" s="386"/>
      <c r="G153" s="24">
        <f t="shared" si="1"/>
        <v>0</v>
      </c>
      <c r="H153" s="386"/>
      <c r="I153" s="386"/>
      <c r="J153" s="420"/>
      <c r="K153" s="47" t="n">
        <f>IF(AND(C153="Comisiones",H153="Sí"),IFERROR(J153*VLOOKUP(A153,PRODUCTOS!$A$6:$G$35,7,FALSE)*VLOOKUP(A153,PRODUCTOS!$A$6:$C$35,3,FALSE),0),0)</f>
        <v>0</v>
      </c>
      <c r="L153" s="3"/>
      <c r="M153" s="3"/>
    </row>
    <row r="154" ht="15.75" customHeight="1">
      <c r="A154" s="386"/>
      <c r="B154" s="44" t="str">
        <f>IFERROR(VLOOKUP(A154,PRODUCTOS!$A$6:$B$35,2,FALSE),"")</f>
      </c>
      <c r="C154" s="386"/>
      <c r="D154" s="386"/>
      <c r="E154" s="412"/>
      <c r="F154" s="386"/>
      <c r="G154" s="24">
        <f t="shared" si="1"/>
        <v>0</v>
      </c>
      <c r="H154" s="386"/>
      <c r="I154" s="386"/>
      <c r="J154" s="420"/>
      <c r="K154" s="47" t="n">
        <f>IF(AND(C154="Comisiones",H154="Sí"),IFERROR(J154*VLOOKUP(A154,PRODUCTOS!$A$6:$G$35,7,FALSE)*VLOOKUP(A154,PRODUCTOS!$A$6:$C$35,3,FALSE),0),0)</f>
        <v>0</v>
      </c>
      <c r="L154" s="3"/>
      <c r="M154" s="3"/>
    </row>
    <row r="155" ht="15.75" customHeight="1">
      <c r="A155" s="386"/>
      <c r="B155" s="44" t="str">
        <f>IFERROR(VLOOKUP(A155,PRODUCTOS!$A$6:$B$35,2,FALSE),"")</f>
      </c>
      <c r="C155" s="386"/>
      <c r="D155" s="386"/>
      <c r="E155" s="412"/>
      <c r="F155" s="386"/>
      <c r="G155" s="24">
        <f t="shared" si="1"/>
        <v>0</v>
      </c>
      <c r="H155" s="386"/>
      <c r="I155" s="386"/>
      <c r="J155" s="420"/>
      <c r="K155" s="47" t="n">
        <f>IF(AND(C155="Comisiones",H155="Sí"),IFERROR(J155*VLOOKUP(A155,PRODUCTOS!$A$6:$G$35,7,FALSE)*VLOOKUP(A155,PRODUCTOS!$A$6:$C$35,3,FALSE),0),0)</f>
        <v>0</v>
      </c>
      <c r="L155" s="3"/>
      <c r="M155" s="3"/>
    </row>
    <row r="156" ht="15.75" customHeight="1">
      <c r="A156" s="386"/>
      <c r="B156" s="44" t="str">
        <f>IFERROR(VLOOKUP(A156,PRODUCTOS!$A$6:$B$35,2,FALSE),"")</f>
      </c>
      <c r="C156" s="386"/>
      <c r="D156" s="386"/>
      <c r="E156" s="412"/>
      <c r="F156" s="386"/>
      <c r="G156" s="24">
        <f t="shared" si="1"/>
        <v>0</v>
      </c>
      <c r="H156" s="386"/>
      <c r="I156" s="386"/>
      <c r="J156" s="420"/>
      <c r="K156" s="47" t="n">
        <f>IF(AND(C156="Comisiones",H156="Sí"),IFERROR(J156*VLOOKUP(A156,PRODUCTOS!$A$6:$G$35,7,FALSE)*VLOOKUP(A156,PRODUCTOS!$A$6:$C$35,3,FALSE),0),0)</f>
        <v>0</v>
      </c>
      <c r="L156" s="3"/>
      <c r="M156" s="3"/>
    </row>
    <row r="157" ht="15.75" customHeight="1">
      <c r="A157" s="386"/>
      <c r="B157" s="44" t="str">
        <f>IFERROR(VLOOKUP(A157,PRODUCTOS!$A$6:$B$35,2,FALSE),"")</f>
      </c>
      <c r="C157" s="386"/>
      <c r="D157" s="386"/>
      <c r="E157" s="412"/>
      <c r="F157" s="386"/>
      <c r="G157" s="24">
        <f t="shared" si="1"/>
        <v>0</v>
      </c>
      <c r="H157" s="386"/>
      <c r="I157" s="386"/>
      <c r="J157" s="420"/>
      <c r="K157" s="47" t="n">
        <f>IF(AND(C157="Comisiones",H157="Sí"),IFERROR(J157*VLOOKUP(A157,PRODUCTOS!$A$6:$G$35,7,FALSE)*VLOOKUP(A157,PRODUCTOS!$A$6:$C$35,3,FALSE),0),0)</f>
        <v>0</v>
      </c>
      <c r="L157" s="3"/>
      <c r="M157" s="3"/>
    </row>
    <row r="158" ht="15.75" customHeight="1">
      <c r="A158" s="386"/>
      <c r="B158" s="44" t="str">
        <f>IFERROR(VLOOKUP(A158,PRODUCTOS!$A$6:$B$35,2,FALSE),"")</f>
      </c>
      <c r="C158" s="386"/>
      <c r="D158" s="386"/>
      <c r="E158" s="412"/>
      <c r="F158" s="386"/>
      <c r="G158" s="24">
        <f t="shared" si="1"/>
        <v>0</v>
      </c>
      <c r="H158" s="386"/>
      <c r="I158" s="386"/>
      <c r="J158" s="420"/>
      <c r="K158" s="47" t="n">
        <f>IF(AND(C158="Comisiones",H158="Sí"),IFERROR(J158*VLOOKUP(A158,PRODUCTOS!$A$6:$G$35,7,FALSE)*VLOOKUP(A158,PRODUCTOS!$A$6:$C$35,3,FALSE),0),0)</f>
        <v>0</v>
      </c>
      <c r="L158" s="3"/>
      <c r="M158" s="3"/>
    </row>
    <row r="159" ht="15.75" customHeight="1">
      <c r="A159" s="386"/>
      <c r="B159" s="44" t="str">
        <f>IFERROR(VLOOKUP(A159,PRODUCTOS!$A$6:$B$35,2,FALSE),"")</f>
      </c>
      <c r="C159" s="386"/>
      <c r="D159" s="386"/>
      <c r="E159" s="412"/>
      <c r="F159" s="386"/>
      <c r="G159" s="24">
        <f t="shared" si="1"/>
        <v>0</v>
      </c>
      <c r="H159" s="386"/>
      <c r="I159" s="386"/>
      <c r="J159" s="420"/>
      <c r="K159" s="47" t="n">
        <f>IF(AND(C159="Comisiones",H159="Sí"),IFERROR(J159*VLOOKUP(A159,PRODUCTOS!$A$6:$G$35,7,FALSE)*VLOOKUP(A159,PRODUCTOS!$A$6:$C$35,3,FALSE),0),0)</f>
        <v>0</v>
      </c>
      <c r="L159" s="3"/>
      <c r="M159" s="3"/>
    </row>
    <row r="160" ht="15.75" customHeight="1">
      <c r="A160" s="386"/>
      <c r="B160" s="44" t="str">
        <f>IFERROR(VLOOKUP(A160,PRODUCTOS!$A$6:$B$35,2,FALSE),"")</f>
      </c>
      <c r="C160" s="386"/>
      <c r="D160" s="386"/>
      <c r="E160" s="412"/>
      <c r="F160" s="386"/>
      <c r="G160" s="24">
        <f t="shared" si="1"/>
        <v>0</v>
      </c>
      <c r="H160" s="386"/>
      <c r="I160" s="386"/>
      <c r="J160" s="420"/>
      <c r="K160" s="47" t="n">
        <f>IF(AND(C160="Comisiones",H160="Sí"),IFERROR(J160*VLOOKUP(A160,PRODUCTOS!$A$6:$G$35,7,FALSE)*VLOOKUP(A160,PRODUCTOS!$A$6:$C$35,3,FALSE),0),0)</f>
        <v>0</v>
      </c>
      <c r="L160" s="3"/>
      <c r="M160" s="3"/>
    </row>
    <row r="161" ht="15.75" customHeight="1">
      <c r="A161" s="386"/>
      <c r="B161" s="44" t="str">
        <f>IFERROR(VLOOKUP(A161,PRODUCTOS!$A$6:$B$35,2,FALSE),"")</f>
      </c>
      <c r="C161" s="386"/>
      <c r="D161" s="386"/>
      <c r="E161" s="412"/>
      <c r="F161" s="386"/>
      <c r="G161" s="24">
        <f t="shared" si="1"/>
        <v>0</v>
      </c>
      <c r="H161" s="386"/>
      <c r="I161" s="386"/>
      <c r="J161" s="420"/>
      <c r="K161" s="47" t="n">
        <f>IF(AND(C161="Comisiones",H161="Sí"),IFERROR(J161*VLOOKUP(A161,PRODUCTOS!$A$6:$G$35,7,FALSE)*VLOOKUP(A161,PRODUCTOS!$A$6:$C$35,3,FALSE),0),0)</f>
        <v>0</v>
      </c>
      <c r="L161" s="3"/>
      <c r="M161" s="3"/>
    </row>
    <row r="162" ht="15.75" customHeight="1">
      <c r="A162" s="386"/>
      <c r="B162" s="44" t="str">
        <f>IFERROR(VLOOKUP(A162,PRODUCTOS!$A$6:$B$35,2,FALSE),"")</f>
      </c>
      <c r="C162" s="386"/>
      <c r="D162" s="386"/>
      <c r="E162" s="412"/>
      <c r="F162" s="386"/>
      <c r="G162" s="24">
        <f t="shared" si="1"/>
        <v>0</v>
      </c>
      <c r="H162" s="386"/>
      <c r="I162" s="386"/>
      <c r="J162" s="420"/>
      <c r="K162" s="47" t="n">
        <f>IF(AND(C162="Comisiones",H162="Sí"),IFERROR(J162*VLOOKUP(A162,PRODUCTOS!$A$6:$G$35,7,FALSE)*VLOOKUP(A162,PRODUCTOS!$A$6:$C$35,3,FALSE),0),0)</f>
        <v>0</v>
      </c>
      <c r="L162" s="3"/>
      <c r="M162" s="3"/>
    </row>
    <row r="163" ht="15.75" customHeight="1">
      <c r="A163" s="386"/>
      <c r="B163" s="44" t="str">
        <f>IFERROR(VLOOKUP(A163,PRODUCTOS!$A$6:$B$35,2,FALSE),"")</f>
      </c>
      <c r="C163" s="386"/>
      <c r="D163" s="386"/>
      <c r="E163" s="412"/>
      <c r="F163" s="386"/>
      <c r="G163" s="24">
        <f t="shared" si="1"/>
        <v>0</v>
      </c>
      <c r="H163" s="386"/>
      <c r="I163" s="386"/>
      <c r="J163" s="420"/>
      <c r="K163" s="47" t="n">
        <f>IF(AND(C163="Comisiones",H163="Sí"),IFERROR(J163*VLOOKUP(A163,PRODUCTOS!$A$6:$G$35,7,FALSE)*VLOOKUP(A163,PRODUCTOS!$A$6:$C$35,3,FALSE),0),0)</f>
        <v>0</v>
      </c>
      <c r="L163" s="3"/>
      <c r="M163" s="3"/>
    </row>
    <row r="164" ht="15.75" customHeight="1">
      <c r="A164" s="386"/>
      <c r="B164" s="44" t="str">
        <f>IFERROR(VLOOKUP(A164,PRODUCTOS!$A$6:$B$35,2,FALSE),"")</f>
      </c>
      <c r="C164" s="386"/>
      <c r="D164" s="386"/>
      <c r="E164" s="412"/>
      <c r="F164" s="386"/>
      <c r="G164" s="24">
        <f t="shared" si="1"/>
        <v>0</v>
      </c>
      <c r="H164" s="386"/>
      <c r="I164" s="386"/>
      <c r="J164" s="420"/>
      <c r="K164" s="47" t="n">
        <f>IF(AND(C164="Comisiones",H164="Sí"),IFERROR(J164*VLOOKUP(A164,PRODUCTOS!$A$6:$G$35,7,FALSE)*VLOOKUP(A164,PRODUCTOS!$A$6:$C$35,3,FALSE),0),0)</f>
        <v>0</v>
      </c>
      <c r="L164" s="3"/>
      <c r="M164" s="3"/>
    </row>
    <row r="165" ht="15.75" customHeight="1">
      <c r="A165" s="386"/>
      <c r="B165" s="44" t="str">
        <f>IFERROR(VLOOKUP(A165,PRODUCTOS!$A$6:$B$35,2,FALSE),"")</f>
      </c>
      <c r="C165" s="386"/>
      <c r="D165" s="386"/>
      <c r="E165" s="412"/>
      <c r="F165" s="386"/>
      <c r="G165" s="24">
        <f t="shared" si="1"/>
        <v>0</v>
      </c>
      <c r="H165" s="386"/>
      <c r="I165" s="386"/>
      <c r="J165" s="420"/>
      <c r="K165" s="47" t="n">
        <f>IF(AND(C165="Comisiones",H165="Sí"),IFERROR(J165*VLOOKUP(A165,PRODUCTOS!$A$6:$G$35,7,FALSE)*VLOOKUP(A165,PRODUCTOS!$A$6:$C$35,3,FALSE),0),0)</f>
        <v>0</v>
      </c>
      <c r="L165" s="3"/>
      <c r="M165" s="3"/>
    </row>
    <row r="166" ht="15.75" customHeight="1">
      <c r="A166" s="386"/>
      <c r="B166" s="44" t="str">
        <f>IFERROR(VLOOKUP(A166,PRODUCTOS!$A$6:$B$35,2,FALSE),"")</f>
      </c>
      <c r="C166" s="386"/>
      <c r="D166" s="386"/>
      <c r="E166" s="412"/>
      <c r="F166" s="386"/>
      <c r="G166" s="24">
        <f t="shared" si="1"/>
        <v>0</v>
      </c>
      <c r="H166" s="386"/>
      <c r="I166" s="386"/>
      <c r="J166" s="420"/>
      <c r="K166" s="47" t="n">
        <f>IF(AND(C166="Comisiones",H166="Sí"),IFERROR(J166*VLOOKUP(A166,PRODUCTOS!$A$6:$G$35,7,FALSE)*VLOOKUP(A166,PRODUCTOS!$A$6:$C$35,3,FALSE),0),0)</f>
        <v>0</v>
      </c>
      <c r="L166" s="3"/>
      <c r="M166" s="3"/>
    </row>
    <row r="167" ht="15.75" customHeight="1">
      <c r="A167" s="386"/>
      <c r="B167" s="44" t="str">
        <f>IFERROR(VLOOKUP(A167,PRODUCTOS!$A$6:$B$35,2,FALSE),"")</f>
      </c>
      <c r="C167" s="386"/>
      <c r="D167" s="386"/>
      <c r="E167" s="412"/>
      <c r="F167" s="386"/>
      <c r="G167" s="24">
        <f t="shared" si="1"/>
        <v>0</v>
      </c>
      <c r="H167" s="386"/>
      <c r="I167" s="386"/>
      <c r="J167" s="420"/>
      <c r="K167" s="47" t="n">
        <f>IF(AND(C167="Comisiones",H167="Sí"),IFERROR(J167*VLOOKUP(A167,PRODUCTOS!$A$6:$G$35,7,FALSE)*VLOOKUP(A167,PRODUCTOS!$A$6:$C$35,3,FALSE),0),0)</f>
        <v>0</v>
      </c>
      <c r="L167" s="3"/>
      <c r="M167" s="3"/>
    </row>
    <row r="168" ht="15.75" customHeight="1">
      <c r="A168" s="386"/>
      <c r="B168" s="44" t="str">
        <f>IFERROR(VLOOKUP(A168,PRODUCTOS!$A$6:$B$35,2,FALSE),"")</f>
      </c>
      <c r="C168" s="386"/>
      <c r="D168" s="386"/>
      <c r="E168" s="412"/>
      <c r="F168" s="386"/>
      <c r="G168" s="24">
        <f t="shared" si="1"/>
        <v>0</v>
      </c>
      <c r="H168" s="386"/>
      <c r="I168" s="386"/>
      <c r="J168" s="420"/>
      <c r="K168" s="47" t="n">
        <f>IF(AND(C168="Comisiones",H168="Sí"),IFERROR(J168*VLOOKUP(A168,PRODUCTOS!$A$6:$G$35,7,FALSE)*VLOOKUP(A168,PRODUCTOS!$A$6:$C$35,3,FALSE),0),0)</f>
        <v>0</v>
      </c>
      <c r="L168" s="3"/>
      <c r="M168" s="3"/>
    </row>
    <row r="169" ht="15.75" customHeight="1">
      <c r="A169" s="386"/>
      <c r="B169" s="44" t="str">
        <f>IFERROR(VLOOKUP(A169,PRODUCTOS!$A$6:$B$35,2,FALSE),"")</f>
      </c>
      <c r="C169" s="386"/>
      <c r="D169" s="386"/>
      <c r="E169" s="412"/>
      <c r="F169" s="386"/>
      <c r="G169" s="24">
        <f t="shared" si="1"/>
        <v>0</v>
      </c>
      <c r="H169" s="386"/>
      <c r="I169" s="386"/>
      <c r="J169" s="420"/>
      <c r="K169" s="47" t="n">
        <f>IF(AND(C169="Comisiones",H169="Sí"),IFERROR(J169*VLOOKUP(A169,PRODUCTOS!$A$6:$G$35,7,FALSE)*VLOOKUP(A169,PRODUCTOS!$A$6:$C$35,3,FALSE),0),0)</f>
        <v>0</v>
      </c>
      <c r="L169" s="3"/>
      <c r="M169" s="3"/>
    </row>
    <row r="170" ht="15.75" customHeight="1">
      <c r="A170" s="386"/>
      <c r="B170" s="44" t="str">
        <f>IFERROR(VLOOKUP(A170,PRODUCTOS!$A$6:$B$35,2,FALSE),"")</f>
      </c>
      <c r="C170" s="386"/>
      <c r="D170" s="386"/>
      <c r="E170" s="412"/>
      <c r="F170" s="386"/>
      <c r="G170" s="24">
        <f t="shared" si="1"/>
        <v>0</v>
      </c>
      <c r="H170" s="386"/>
      <c r="I170" s="386"/>
      <c r="J170" s="420"/>
      <c r="K170" s="47" t="n">
        <f>IF(AND(C170="Comisiones",H170="Sí"),IFERROR(J170*VLOOKUP(A170,PRODUCTOS!$A$6:$G$35,7,FALSE)*VLOOKUP(A170,PRODUCTOS!$A$6:$C$35,3,FALSE),0),0)</f>
        <v>0</v>
      </c>
      <c r="L170" s="3"/>
      <c r="M170" s="3"/>
    </row>
    <row r="171" ht="15.75" customHeight="1">
      <c r="A171" s="386"/>
      <c r="B171" s="44" t="str">
        <f>IFERROR(VLOOKUP(A171,PRODUCTOS!$A$6:$B$35,2,FALSE),"")</f>
      </c>
      <c r="C171" s="386"/>
      <c r="D171" s="386"/>
      <c r="E171" s="412"/>
      <c r="F171" s="386"/>
      <c r="G171" s="24">
        <f t="shared" si="1"/>
        <v>0</v>
      </c>
      <c r="H171" s="386"/>
      <c r="I171" s="386"/>
      <c r="J171" s="420"/>
      <c r="K171" s="47" t="n">
        <f>IF(AND(C171="Comisiones",H171="Sí"),IFERROR(J171*VLOOKUP(A171,PRODUCTOS!$A$6:$G$35,7,FALSE)*VLOOKUP(A171,PRODUCTOS!$A$6:$C$35,3,FALSE),0),0)</f>
        <v>0</v>
      </c>
      <c r="L171" s="3"/>
      <c r="M171" s="3"/>
    </row>
    <row r="172" ht="15.75" customHeight="1">
      <c r="A172" s="386"/>
      <c r="B172" s="44" t="str">
        <f>IFERROR(VLOOKUP(A172,PRODUCTOS!$A$6:$B$35,2,FALSE),"")</f>
      </c>
      <c r="C172" s="386"/>
      <c r="D172" s="386"/>
      <c r="E172" s="412"/>
      <c r="F172" s="386"/>
      <c r="G172" s="24">
        <f t="shared" si="1"/>
        <v>0</v>
      </c>
      <c r="H172" s="386"/>
      <c r="I172" s="386"/>
      <c r="J172" s="420"/>
      <c r="K172" s="47" t="n">
        <f>IF(AND(C172="Comisiones",H172="Sí"),IFERROR(J172*VLOOKUP(A172,PRODUCTOS!$A$6:$G$35,7,FALSE)*VLOOKUP(A172,PRODUCTOS!$A$6:$C$35,3,FALSE),0),0)</f>
        <v>0</v>
      </c>
      <c r="L172" s="3"/>
      <c r="M172" s="3"/>
    </row>
    <row r="173" ht="15.75" customHeight="1">
      <c r="A173" s="386"/>
      <c r="B173" s="44" t="str">
        <f>IFERROR(VLOOKUP(A173,PRODUCTOS!$A$6:$B$35,2,FALSE),"")</f>
      </c>
      <c r="C173" s="386"/>
      <c r="D173" s="386"/>
      <c r="E173" s="412"/>
      <c r="F173" s="386"/>
      <c r="G173" s="24">
        <f t="shared" si="1"/>
        <v>0</v>
      </c>
      <c r="H173" s="386"/>
      <c r="I173" s="386"/>
      <c r="J173" s="420"/>
      <c r="K173" s="47" t="n">
        <f>IF(AND(C173="Comisiones",H173="Sí"),IFERROR(J173*VLOOKUP(A173,PRODUCTOS!$A$6:$G$35,7,FALSE)*VLOOKUP(A173,PRODUCTOS!$A$6:$C$35,3,FALSE),0),0)</f>
        <v>0</v>
      </c>
      <c r="L173" s="3"/>
      <c r="M173" s="3"/>
    </row>
    <row r="174" ht="15.75" customHeight="1">
      <c r="A174" s="386"/>
      <c r="B174" s="44" t="str">
        <f>IFERROR(VLOOKUP(A174,PRODUCTOS!$A$6:$B$35,2,FALSE),"")</f>
      </c>
      <c r="C174" s="386"/>
      <c r="D174" s="386"/>
      <c r="E174" s="412"/>
      <c r="F174" s="386"/>
      <c r="G174" s="24">
        <f t="shared" si="1"/>
        <v>0</v>
      </c>
      <c r="H174" s="386"/>
      <c r="I174" s="386"/>
      <c r="J174" s="420"/>
      <c r="K174" s="47" t="n">
        <f>IF(AND(C174="Comisiones",H174="Sí"),IFERROR(J174*VLOOKUP(A174,PRODUCTOS!$A$6:$G$35,7,FALSE)*VLOOKUP(A174,PRODUCTOS!$A$6:$C$35,3,FALSE),0),0)</f>
        <v>0</v>
      </c>
      <c r="L174" s="3"/>
      <c r="M174" s="3"/>
    </row>
    <row r="175" ht="15.75" customHeight="1">
      <c r="A175" s="386"/>
      <c r="B175" s="44" t="str">
        <f>IFERROR(VLOOKUP(A175,PRODUCTOS!$A$6:$B$35,2,FALSE),"")</f>
      </c>
      <c r="C175" s="386"/>
      <c r="D175" s="386"/>
      <c r="E175" s="412"/>
      <c r="F175" s="386"/>
      <c r="G175" s="24">
        <f t="shared" si="1"/>
        <v>0</v>
      </c>
      <c r="H175" s="386"/>
      <c r="I175" s="386"/>
      <c r="J175" s="420"/>
      <c r="K175" s="47" t="n">
        <f>IF(AND(C175="Comisiones",H175="Sí"),IFERROR(J175*VLOOKUP(A175,PRODUCTOS!$A$6:$G$35,7,FALSE)*VLOOKUP(A175,PRODUCTOS!$A$6:$C$35,3,FALSE),0),0)</f>
        <v>0</v>
      </c>
      <c r="L175" s="3"/>
      <c r="M175" s="3"/>
    </row>
    <row r="176" ht="15.75" customHeight="1">
      <c r="A176" s="386"/>
      <c r="B176" s="44" t="str">
        <f>IFERROR(VLOOKUP(A176,PRODUCTOS!$A$6:$B$35,2,FALSE),"")</f>
      </c>
      <c r="C176" s="386"/>
      <c r="D176" s="386"/>
      <c r="E176" s="412"/>
      <c r="F176" s="386"/>
      <c r="G176" s="24">
        <f t="shared" si="1"/>
        <v>0</v>
      </c>
      <c r="H176" s="386"/>
      <c r="I176" s="386"/>
      <c r="J176" s="420"/>
      <c r="K176" s="47" t="n">
        <f>IF(AND(C176="Comisiones",H176="Sí"),IFERROR(J176*VLOOKUP(A176,PRODUCTOS!$A$6:$G$35,7,FALSE)*VLOOKUP(A176,PRODUCTOS!$A$6:$C$35,3,FALSE),0),0)</f>
        <v>0</v>
      </c>
      <c r="L176" s="3"/>
      <c r="M176" s="3"/>
    </row>
    <row r="177" ht="15.75" customHeight="1">
      <c r="A177" s="386"/>
      <c r="B177" s="44" t="str">
        <f>IFERROR(VLOOKUP(A177,PRODUCTOS!$A$6:$B$35,2,FALSE),"")</f>
      </c>
      <c r="C177" s="386"/>
      <c r="D177" s="386"/>
      <c r="E177" s="412"/>
      <c r="F177" s="386"/>
      <c r="G177" s="24">
        <f t="shared" si="1"/>
        <v>0</v>
      </c>
      <c r="H177" s="386"/>
      <c r="I177" s="386"/>
      <c r="J177" s="420"/>
      <c r="K177" s="47" t="n">
        <f>IF(AND(C177="Comisiones",H177="Sí"),IFERROR(J177*VLOOKUP(A177,PRODUCTOS!$A$6:$G$35,7,FALSE)*VLOOKUP(A177,PRODUCTOS!$A$6:$C$35,3,FALSE),0),0)</f>
        <v>0</v>
      </c>
      <c r="L177" s="3"/>
      <c r="M177" s="3"/>
    </row>
    <row r="178" ht="15.75" customHeight="1">
      <c r="A178" s="386"/>
      <c r="B178" s="44" t="str">
        <f>IFERROR(VLOOKUP(A178,PRODUCTOS!$A$6:$B$35,2,FALSE),"")</f>
      </c>
      <c r="C178" s="386"/>
      <c r="D178" s="386"/>
      <c r="E178" s="412"/>
      <c r="F178" s="386"/>
      <c r="G178" s="24">
        <f t="shared" si="1"/>
        <v>0</v>
      </c>
      <c r="H178" s="386"/>
      <c r="I178" s="386"/>
      <c r="J178" s="420"/>
      <c r="K178" s="47" t="n">
        <f>IF(AND(C178="Comisiones",H178="Sí"),IFERROR(J178*VLOOKUP(A178,PRODUCTOS!$A$6:$G$35,7,FALSE)*VLOOKUP(A178,PRODUCTOS!$A$6:$C$35,3,FALSE),0),0)</f>
        <v>0</v>
      </c>
      <c r="L178" s="3"/>
      <c r="M178" s="3"/>
    </row>
    <row r="179" ht="15.75" customHeight="1">
      <c r="A179" s="386"/>
      <c r="B179" s="44" t="str">
        <f>IFERROR(VLOOKUP(A179,PRODUCTOS!$A$6:$B$35,2,FALSE),"")</f>
      </c>
      <c r="C179" s="386"/>
      <c r="D179" s="386"/>
      <c r="E179" s="412"/>
      <c r="F179" s="386"/>
      <c r="G179" s="24">
        <f t="shared" si="1"/>
        <v>0</v>
      </c>
      <c r="H179" s="386"/>
      <c r="I179" s="386"/>
      <c r="J179" s="420"/>
      <c r="K179" s="47" t="n">
        <f>IF(AND(C179="Comisiones",H179="Sí"),IFERROR(J179*VLOOKUP(A179,PRODUCTOS!$A$6:$G$35,7,FALSE)*VLOOKUP(A179,PRODUCTOS!$A$6:$C$35,3,FALSE),0),0)</f>
        <v>0</v>
      </c>
      <c r="L179" s="3"/>
      <c r="M179" s="3"/>
    </row>
    <row r="180" ht="15.75" customHeight="1">
      <c r="A180" s="386"/>
      <c r="B180" s="44" t="str">
        <f>IFERROR(VLOOKUP(A180,PRODUCTOS!$A$6:$B$35,2,FALSE),"")</f>
      </c>
      <c r="C180" s="386"/>
      <c r="D180" s="386"/>
      <c r="E180" s="412"/>
      <c r="F180" s="386"/>
      <c r="G180" s="24">
        <f t="shared" si="1"/>
        <v>0</v>
      </c>
      <c r="H180" s="386"/>
      <c r="I180" s="386"/>
      <c r="J180" s="420"/>
      <c r="K180" s="47" t="n">
        <f>IF(AND(C180="Comisiones",H180="Sí"),IFERROR(J180*VLOOKUP(A180,PRODUCTOS!$A$6:$G$35,7,FALSE)*VLOOKUP(A180,PRODUCTOS!$A$6:$C$35,3,FALSE),0),0)</f>
        <v>0</v>
      </c>
      <c r="L180" s="3"/>
      <c r="M180" s="3"/>
    </row>
    <row r="181" ht="15.75" customHeight="1">
      <c r="A181" s="386"/>
      <c r="B181" s="44" t="str">
        <f>IFERROR(VLOOKUP(A181,PRODUCTOS!$A$6:$B$35,2,FALSE),"")</f>
      </c>
      <c r="C181" s="386"/>
      <c r="D181" s="386"/>
      <c r="E181" s="412"/>
      <c r="F181" s="386"/>
      <c r="G181" s="24">
        <f t="shared" si="1"/>
        <v>0</v>
      </c>
      <c r="H181" s="386"/>
      <c r="I181" s="386"/>
      <c r="J181" s="420"/>
      <c r="K181" s="47" t="n">
        <f>IF(AND(C181="Comisiones",H181="Sí"),IFERROR(J181*VLOOKUP(A181,PRODUCTOS!$A$6:$G$35,7,FALSE)*VLOOKUP(A181,PRODUCTOS!$A$6:$C$35,3,FALSE),0),0)</f>
        <v>0</v>
      </c>
      <c r="L181" s="3"/>
      <c r="M181" s="3"/>
    </row>
    <row r="182" ht="15.75" customHeight="1">
      <c r="A182" s="386"/>
      <c r="B182" s="44" t="str">
        <f>IFERROR(VLOOKUP(A182,PRODUCTOS!$A$6:$B$35,2,FALSE),"")</f>
      </c>
      <c r="C182" s="386"/>
      <c r="D182" s="386"/>
      <c r="E182" s="412"/>
      <c r="F182" s="386"/>
      <c r="G182" s="24">
        <f t="shared" si="1"/>
        <v>0</v>
      </c>
      <c r="H182" s="386"/>
      <c r="I182" s="386"/>
      <c r="J182" s="420"/>
      <c r="K182" s="47" t="n">
        <f>IF(AND(C182="Comisiones",H182="Sí"),IFERROR(J182*VLOOKUP(A182,PRODUCTOS!$A$6:$G$35,7,FALSE)*VLOOKUP(A182,PRODUCTOS!$A$6:$C$35,3,FALSE),0),0)</f>
        <v>0</v>
      </c>
      <c r="L182" s="3"/>
      <c r="M182" s="3"/>
    </row>
    <row r="183" ht="15.75" customHeight="1">
      <c r="A183" s="386"/>
      <c r="B183" s="44" t="str">
        <f>IFERROR(VLOOKUP(A183,PRODUCTOS!$A$6:$B$35,2,FALSE),"")</f>
      </c>
      <c r="C183" s="386"/>
      <c r="D183" s="386"/>
      <c r="E183" s="412"/>
      <c r="F183" s="386"/>
      <c r="G183" s="24">
        <f t="shared" si="1"/>
        <v>0</v>
      </c>
      <c r="H183" s="386"/>
      <c r="I183" s="386"/>
      <c r="J183" s="420"/>
      <c r="K183" s="47" t="n">
        <f>IF(AND(C183="Comisiones",H183="Sí"),IFERROR(J183*VLOOKUP(A183,PRODUCTOS!$A$6:$G$35,7,FALSE)*VLOOKUP(A183,PRODUCTOS!$A$6:$C$35,3,FALSE),0),0)</f>
        <v>0</v>
      </c>
      <c r="L183" s="3"/>
      <c r="M183" s="3"/>
    </row>
    <row r="184" ht="15.75" customHeight="1">
      <c r="A184" s="386"/>
      <c r="B184" s="44" t="str">
        <f>IFERROR(VLOOKUP(A184,PRODUCTOS!$A$6:$B$35,2,FALSE),"")</f>
      </c>
      <c r="C184" s="386"/>
      <c r="D184" s="386"/>
      <c r="E184" s="412"/>
      <c r="F184" s="386"/>
      <c r="G184" s="24">
        <f t="shared" si="1"/>
        <v>0</v>
      </c>
      <c r="H184" s="386"/>
      <c r="I184" s="386"/>
      <c r="J184" s="420"/>
      <c r="K184" s="47" t="n">
        <f>IF(AND(C184="Comisiones",H184="Sí"),IFERROR(J184*VLOOKUP(A184,PRODUCTOS!$A$6:$G$35,7,FALSE)*VLOOKUP(A184,PRODUCTOS!$A$6:$C$35,3,FALSE),0),0)</f>
        <v>0</v>
      </c>
      <c r="L184" s="3"/>
      <c r="M184" s="3"/>
    </row>
    <row r="185" ht="15.75" customHeight="1">
      <c r="A185" s="386"/>
      <c r="B185" s="44" t="str">
        <f>IFERROR(VLOOKUP(A185,PRODUCTOS!$A$6:$B$35,2,FALSE),"")</f>
      </c>
      <c r="C185" s="386"/>
      <c r="D185" s="386"/>
      <c r="E185" s="412"/>
      <c r="F185" s="386"/>
      <c r="G185" s="24">
        <f t="shared" si="1"/>
        <v>0</v>
      </c>
      <c r="H185" s="386"/>
      <c r="I185" s="386"/>
      <c r="J185" s="420"/>
      <c r="K185" s="47" t="n">
        <f>IF(AND(C185="Comisiones",H185="Sí"),IFERROR(J185*VLOOKUP(A185,PRODUCTOS!$A$6:$G$35,7,FALSE)*VLOOKUP(A185,PRODUCTOS!$A$6:$C$35,3,FALSE),0),0)</f>
        <v>0</v>
      </c>
      <c r="L185" s="3"/>
      <c r="M185" s="3"/>
    </row>
    <row r="186" ht="15.75" customHeight="1">
      <c r="A186" s="386"/>
      <c r="B186" s="44" t="str">
        <f>IFERROR(VLOOKUP(A186,PRODUCTOS!$A$6:$B$35,2,FALSE),"")</f>
      </c>
      <c r="C186" s="386"/>
      <c r="D186" s="386"/>
      <c r="E186" s="412"/>
      <c r="F186" s="386"/>
      <c r="G186" s="24">
        <f t="shared" si="1"/>
        <v>0</v>
      </c>
      <c r="H186" s="386"/>
      <c r="I186" s="386"/>
      <c r="J186" s="420"/>
      <c r="K186" s="47" t="n">
        <f>IF(AND(C186="Comisiones",H186="Sí"),IFERROR(J186*VLOOKUP(A186,PRODUCTOS!$A$6:$G$35,7,FALSE)*VLOOKUP(A186,PRODUCTOS!$A$6:$C$35,3,FALSE),0),0)</f>
        <v>0</v>
      </c>
      <c r="L186" s="3"/>
      <c r="M186" s="3"/>
    </row>
    <row r="187" ht="15.75" customHeight="1">
      <c r="A187" s="386"/>
      <c r="B187" s="44" t="str">
        <f>IFERROR(VLOOKUP(A187,PRODUCTOS!$A$6:$B$35,2,FALSE),"")</f>
      </c>
      <c r="C187" s="386"/>
      <c r="D187" s="386"/>
      <c r="E187" s="412"/>
      <c r="F187" s="386"/>
      <c r="G187" s="24">
        <f t="shared" si="1"/>
        <v>0</v>
      </c>
      <c r="H187" s="386"/>
      <c r="I187" s="386"/>
      <c r="J187" s="420"/>
      <c r="K187" s="47" t="n">
        <f>IF(AND(C187="Comisiones",H187="Sí"),IFERROR(J187*VLOOKUP(A187,PRODUCTOS!$A$6:$G$35,7,FALSE)*VLOOKUP(A187,PRODUCTOS!$A$6:$C$35,3,FALSE),0),0)</f>
        <v>0</v>
      </c>
      <c r="L187" s="3"/>
      <c r="M187" s="3"/>
    </row>
    <row r="188" ht="15.75" customHeight="1">
      <c r="A188" s="386"/>
      <c r="B188" s="44" t="str">
        <f>IFERROR(VLOOKUP(A188,PRODUCTOS!$A$6:$B$35,2,FALSE),"")</f>
      </c>
      <c r="C188" s="386"/>
      <c r="D188" s="386"/>
      <c r="E188" s="412"/>
      <c r="F188" s="386"/>
      <c r="G188" s="24">
        <f t="shared" si="1"/>
        <v>0</v>
      </c>
      <c r="H188" s="386"/>
      <c r="I188" s="386"/>
      <c r="J188" s="420"/>
      <c r="K188" s="47" t="n">
        <f>IF(AND(C188="Comisiones",H188="Sí"),IFERROR(J188*VLOOKUP(A188,PRODUCTOS!$A$6:$G$35,7,FALSE)*VLOOKUP(A188,PRODUCTOS!$A$6:$C$35,3,FALSE),0),0)</f>
        <v>0</v>
      </c>
      <c r="L188" s="3"/>
      <c r="M188" s="3"/>
    </row>
    <row r="189" ht="15.75" customHeight="1">
      <c r="A189" s="386"/>
      <c r="B189" s="44" t="str">
        <f>IFERROR(VLOOKUP(A189,PRODUCTOS!$A$6:$B$35,2,FALSE),"")</f>
      </c>
      <c r="C189" s="386"/>
      <c r="D189" s="386"/>
      <c r="E189" s="412"/>
      <c r="F189" s="386"/>
      <c r="G189" s="24">
        <f t="shared" si="1"/>
        <v>0</v>
      </c>
      <c r="H189" s="386"/>
      <c r="I189" s="386"/>
      <c r="J189" s="420"/>
      <c r="K189" s="47" t="n">
        <f>IF(AND(C189="Comisiones",H189="Sí"),IFERROR(J189*VLOOKUP(A189,PRODUCTOS!$A$6:$G$35,7,FALSE)*VLOOKUP(A189,PRODUCTOS!$A$6:$C$35,3,FALSE),0),0)</f>
        <v>0</v>
      </c>
      <c r="L189" s="3"/>
      <c r="M189" s="3"/>
    </row>
    <row r="190" ht="15.75" customHeight="1">
      <c r="A190" s="386"/>
      <c r="B190" s="44" t="str">
        <f>IFERROR(VLOOKUP(A190,PRODUCTOS!$A$6:$B$35,2,FALSE),"")</f>
      </c>
      <c r="C190" s="386"/>
      <c r="D190" s="386"/>
      <c r="E190" s="412"/>
      <c r="F190" s="386"/>
      <c r="G190" s="24">
        <f t="shared" si="1"/>
        <v>0</v>
      </c>
      <c r="H190" s="386"/>
      <c r="I190" s="386"/>
      <c r="J190" s="420"/>
      <c r="K190" s="47" t="n">
        <f>IF(AND(C190="Comisiones",H190="Sí"),IFERROR(J190*VLOOKUP(A190,PRODUCTOS!$A$6:$G$35,7,FALSE)*VLOOKUP(A190,PRODUCTOS!$A$6:$C$35,3,FALSE),0),0)</f>
        <v>0</v>
      </c>
      <c r="L190" s="3"/>
      <c r="M190" s="3"/>
    </row>
    <row r="191" ht="15.75" customHeight="1">
      <c r="A191" s="386"/>
      <c r="B191" s="44" t="str">
        <f>IFERROR(VLOOKUP(A191,PRODUCTOS!$A$6:$B$35,2,FALSE),"")</f>
      </c>
      <c r="C191" s="386"/>
      <c r="D191" s="386"/>
      <c r="E191" s="412"/>
      <c r="F191" s="386"/>
      <c r="G191" s="24">
        <f t="shared" si="1"/>
        <v>0</v>
      </c>
      <c r="H191" s="386"/>
      <c r="I191" s="386"/>
      <c r="J191" s="420"/>
      <c r="K191" s="47" t="n">
        <f>IF(AND(C191="Comisiones",H191="Sí"),IFERROR(J191*VLOOKUP(A191,PRODUCTOS!$A$6:$G$35,7,FALSE)*VLOOKUP(A191,PRODUCTOS!$A$6:$C$35,3,FALSE),0),0)</f>
        <v>0</v>
      </c>
      <c r="L191" s="3"/>
      <c r="M191" s="3"/>
    </row>
    <row r="192" ht="15.75" customHeight="1">
      <c r="A192" s="386"/>
      <c r="B192" s="44" t="str">
        <f>IFERROR(VLOOKUP(A192,PRODUCTOS!$A$6:$B$35,2,FALSE),"")</f>
      </c>
      <c r="C192" s="386"/>
      <c r="D192" s="386"/>
      <c r="E192" s="412"/>
      <c r="F192" s="386"/>
      <c r="G192" s="24">
        <f t="shared" si="1"/>
        <v>0</v>
      </c>
      <c r="H192" s="386"/>
      <c r="I192" s="386"/>
      <c r="J192" s="420"/>
      <c r="K192" s="47" t="n">
        <f>IF(AND(C192="Comisiones",H192="Sí"),IFERROR(J192*VLOOKUP(A192,PRODUCTOS!$A$6:$G$35,7,FALSE)*VLOOKUP(A192,PRODUCTOS!$A$6:$C$35,3,FALSE),0),0)</f>
        <v>0</v>
      </c>
      <c r="L192" s="3"/>
      <c r="M192" s="3"/>
    </row>
    <row r="193" ht="15.75" customHeight="1">
      <c r="A193" s="386"/>
      <c r="B193" s="44" t="str">
        <f>IFERROR(VLOOKUP(A193,PRODUCTOS!$A$6:$B$35,2,FALSE),"")</f>
      </c>
      <c r="C193" s="386"/>
      <c r="D193" s="386"/>
      <c r="E193" s="412"/>
      <c r="F193" s="386"/>
      <c r="G193" s="24">
        <f t="shared" si="1"/>
        <v>0</v>
      </c>
      <c r="H193" s="386"/>
      <c r="I193" s="386"/>
      <c r="J193" s="420"/>
      <c r="K193" s="47" t="n">
        <f>IF(AND(C193="Comisiones",H193="Sí"),IFERROR(J193*VLOOKUP(A193,PRODUCTOS!$A$6:$G$35,7,FALSE)*VLOOKUP(A193,PRODUCTOS!$A$6:$C$35,3,FALSE),0),0)</f>
        <v>0</v>
      </c>
      <c r="L193" s="3"/>
      <c r="M193" s="3"/>
    </row>
    <row r="194" ht="15.75" customHeight="1">
      <c r="A194" s="386"/>
      <c r="B194" s="44" t="str">
        <f>IFERROR(VLOOKUP(A194,PRODUCTOS!$A$6:$B$35,2,FALSE),"")</f>
      </c>
      <c r="C194" s="386"/>
      <c r="D194" s="386"/>
      <c r="E194" s="412"/>
      <c r="F194" s="386"/>
      <c r="G194" s="24">
        <f t="shared" si="1"/>
        <v>0</v>
      </c>
      <c r="H194" s="386"/>
      <c r="I194" s="386"/>
      <c r="J194" s="420"/>
      <c r="K194" s="47" t="n">
        <f>IF(AND(C194="Comisiones",H194="Sí"),IFERROR(J194*VLOOKUP(A194,PRODUCTOS!$A$6:$G$35,7,FALSE)*VLOOKUP(A194,PRODUCTOS!$A$6:$C$35,3,FALSE),0),0)</f>
        <v>0</v>
      </c>
      <c r="L194" s="3"/>
      <c r="M194" s="3"/>
    </row>
    <row r="195" ht="15.75" customHeight="1">
      <c r="A195" s="386"/>
      <c r="B195" s="44" t="str">
        <f>IFERROR(VLOOKUP(A195,PRODUCTOS!$A$6:$B$35,2,FALSE),"")</f>
      </c>
      <c r="C195" s="386"/>
      <c r="D195" s="386"/>
      <c r="E195" s="412"/>
      <c r="F195" s="386"/>
      <c r="G195" s="24">
        <f t="shared" si="1"/>
        <v>0</v>
      </c>
      <c r="H195" s="386"/>
      <c r="I195" s="386"/>
      <c r="J195" s="420"/>
      <c r="K195" s="47" t="n">
        <f>IF(AND(C195="Comisiones",H195="Sí"),IFERROR(J195*VLOOKUP(A195,PRODUCTOS!$A$6:$G$35,7,FALSE)*VLOOKUP(A195,PRODUCTOS!$A$6:$C$35,3,FALSE),0),0)</f>
        <v>0</v>
      </c>
      <c r="L195" s="3"/>
      <c r="M195" s="3"/>
    </row>
    <row r="196" ht="15.75" customHeight="1">
      <c r="A196" s="386"/>
      <c r="B196" s="44" t="str">
        <f>IFERROR(VLOOKUP(A196,PRODUCTOS!$A$6:$B$35,2,FALSE),"")</f>
      </c>
      <c r="C196" s="386"/>
      <c r="D196" s="386"/>
      <c r="E196" s="412"/>
      <c r="F196" s="386"/>
      <c r="G196" s="24">
        <f t="shared" si="1"/>
        <v>0</v>
      </c>
      <c r="H196" s="386"/>
      <c r="I196" s="386"/>
      <c r="J196" s="420"/>
      <c r="K196" s="47" t="n">
        <f>IF(AND(C196="Comisiones",H196="Sí"),IFERROR(J196*VLOOKUP(A196,PRODUCTOS!$A$6:$G$35,7,FALSE)*VLOOKUP(A196,PRODUCTOS!$A$6:$C$35,3,FALSE),0),0)</f>
        <v>0</v>
      </c>
      <c r="L196" s="3"/>
      <c r="M196" s="3"/>
    </row>
    <row r="197" ht="15.75" customHeight="1">
      <c r="A197" s="386"/>
      <c r="B197" s="44" t="str">
        <f>IFERROR(VLOOKUP(A197,PRODUCTOS!$A$6:$B$35,2,FALSE),"")</f>
      </c>
      <c r="C197" s="386"/>
      <c r="D197" s="386"/>
      <c r="E197" s="412"/>
      <c r="F197" s="386"/>
      <c r="G197" s="24">
        <f t="shared" si="1"/>
        <v>0</v>
      </c>
      <c r="H197" s="386"/>
      <c r="I197" s="386"/>
      <c r="J197" s="420"/>
      <c r="K197" s="47" t="n">
        <f>IF(AND(C197="Comisiones",H197="Sí"),IFERROR(J197*VLOOKUP(A197,PRODUCTOS!$A$6:$G$35,7,FALSE)*VLOOKUP(A197,PRODUCTOS!$A$6:$C$35,3,FALSE),0),0)</f>
        <v>0</v>
      </c>
      <c r="L197" s="3"/>
      <c r="M197" s="3"/>
    </row>
    <row r="198" ht="15.75" customHeight="1">
      <c r="A198" s="386"/>
      <c r="B198" s="44" t="str">
        <f>IFERROR(VLOOKUP(A198,PRODUCTOS!$A$6:$B$35,2,FALSE),"")</f>
      </c>
      <c r="C198" s="386"/>
      <c r="D198" s="386"/>
      <c r="E198" s="412"/>
      <c r="F198" s="386"/>
      <c r="G198" s="24">
        <f t="shared" si="1"/>
        <v>0</v>
      </c>
      <c r="H198" s="386"/>
      <c r="I198" s="386"/>
      <c r="J198" s="420"/>
      <c r="K198" s="47" t="n">
        <f>IF(AND(C198="Comisiones",H198="Sí"),IFERROR(J198*VLOOKUP(A198,PRODUCTOS!$A$6:$G$35,7,FALSE)*VLOOKUP(A198,PRODUCTOS!$A$6:$C$35,3,FALSE),0),0)</f>
        <v>0</v>
      </c>
      <c r="L198" s="3"/>
      <c r="M198" s="3"/>
    </row>
    <row r="199" ht="15.75" customHeight="1">
      <c r="A199" s="386"/>
      <c r="B199" s="44" t="str">
        <f>IFERROR(VLOOKUP(A199,PRODUCTOS!$A$6:$B$35,2,FALSE),"")</f>
      </c>
      <c r="C199" s="386"/>
      <c r="D199" s="386"/>
      <c r="E199" s="412"/>
      <c r="F199" s="386"/>
      <c r="G199" s="24">
        <f t="shared" si="1"/>
        <v>0</v>
      </c>
      <c r="H199" s="386"/>
      <c r="I199" s="386"/>
      <c r="J199" s="420"/>
      <c r="K199" s="47" t="n">
        <f>IF(AND(C199="Comisiones",H199="Sí"),IFERROR(J199*VLOOKUP(A199,PRODUCTOS!$A$6:$G$35,7,FALSE)*VLOOKUP(A199,PRODUCTOS!$A$6:$C$35,3,FALSE),0),0)</f>
        <v>0</v>
      </c>
      <c r="L199" s="3"/>
      <c r="M199" s="3"/>
    </row>
    <row r="200" ht="15.75" customHeight="1">
      <c r="A200" s="386"/>
      <c r="B200" s="44" t="str">
        <f>IFERROR(VLOOKUP(A200,PRODUCTOS!$A$6:$B$35,2,FALSE),"")</f>
      </c>
      <c r="C200" s="386"/>
      <c r="D200" s="386"/>
      <c r="E200" s="412"/>
      <c r="F200" s="386"/>
      <c r="G200" s="24">
        <f t="shared" si="1"/>
        <v>0</v>
      </c>
      <c r="H200" s="386"/>
      <c r="I200" s="386"/>
      <c r="J200" s="420"/>
      <c r="K200" s="47" t="n">
        <f>IF(AND(C200="Comisiones",H200="Sí"),IFERROR(J200*VLOOKUP(A200,PRODUCTOS!$A$6:$G$35,7,FALSE)*VLOOKUP(A200,PRODUCTOS!$A$6:$C$35,3,FALSE),0),0)</f>
        <v>0</v>
      </c>
      <c r="L200" s="3"/>
      <c r="M200" s="3"/>
    </row>
    <row r="201" ht="15.75" customHeight="1">
      <c r="A201" s="386"/>
      <c r="B201" s="44" t="str">
        <f>IFERROR(VLOOKUP(A201,PRODUCTOS!$A$6:$B$35,2,FALSE),"")</f>
      </c>
      <c r="C201" s="386"/>
      <c r="D201" s="386"/>
      <c r="E201" s="412"/>
      <c r="F201" s="386"/>
      <c r="G201" s="24">
        <f t="shared" si="1"/>
        <v>0</v>
      </c>
      <c r="H201" s="386"/>
      <c r="I201" s="386"/>
      <c r="J201" s="420"/>
      <c r="K201" s="47" t="n">
        <f>IF(AND(C201="Comisiones",H201="Sí"),IFERROR(J201*VLOOKUP(A201,PRODUCTOS!$A$6:$G$35,7,FALSE)*VLOOKUP(A201,PRODUCTOS!$A$6:$C$35,3,FALSE),0),0)</f>
        <v>0</v>
      </c>
      <c r="L201" s="3"/>
      <c r="M201" s="3"/>
    </row>
    <row r="202" ht="15.75" customHeight="1">
      <c r="A202" s="386"/>
      <c r="B202" s="44" t="str">
        <f>IFERROR(VLOOKUP(A202,PRODUCTOS!$A$6:$B$35,2,FALSE),"")</f>
      </c>
      <c r="C202" s="386"/>
      <c r="D202" s="386"/>
      <c r="E202" s="412"/>
      <c r="F202" s="386"/>
      <c r="G202" s="24">
        <f t="shared" si="1"/>
        <v>0</v>
      </c>
      <c r="H202" s="386"/>
      <c r="I202" s="386"/>
      <c r="J202" s="420"/>
      <c r="K202" s="47" t="n">
        <f>IF(AND(C202="Comisiones",H202="Sí"),IFERROR(J202*VLOOKUP(A202,PRODUCTOS!$A$6:$G$35,7,FALSE)*VLOOKUP(A202,PRODUCTOS!$A$6:$C$35,3,FALSE),0),0)</f>
        <v>0</v>
      </c>
      <c r="L202" s="3"/>
      <c r="M202" s="3"/>
    </row>
    <row r="203" ht="15.75" customHeight="1">
      <c r="A203" s="386"/>
      <c r="B203" s="44" t="str">
        <f>IFERROR(VLOOKUP(A203,PRODUCTOS!$A$6:$B$35,2,FALSE),"")</f>
      </c>
      <c r="C203" s="386"/>
      <c r="D203" s="386"/>
      <c r="E203" s="412"/>
      <c r="F203" s="386"/>
      <c r="G203" s="24">
        <f t="shared" si="1"/>
        <v>0</v>
      </c>
      <c r="H203" s="386"/>
      <c r="I203" s="386"/>
      <c r="J203" s="420"/>
      <c r="K203" s="47" t="n">
        <f>IF(AND(C203="Comisiones",H203="Sí"),IFERROR(J203*VLOOKUP(A203,PRODUCTOS!$A$6:$G$35,7,FALSE)*VLOOKUP(A203,PRODUCTOS!$A$6:$C$35,3,FALSE),0),0)</f>
        <v>0</v>
      </c>
      <c r="L203" s="3"/>
      <c r="M203" s="3"/>
    </row>
    <row r="204" ht="15.75" customHeight="1">
      <c r="A204" s="386"/>
      <c r="B204" s="44" t="str">
        <f>IFERROR(VLOOKUP(A204,PRODUCTOS!$A$6:$B$35,2,FALSE),"")</f>
      </c>
      <c r="C204" s="386"/>
      <c r="D204" s="386"/>
      <c r="E204" s="412"/>
      <c r="F204" s="386"/>
      <c r="G204" s="24">
        <f t="shared" si="1"/>
        <v>0</v>
      </c>
      <c r="H204" s="386"/>
      <c r="I204" s="386"/>
      <c r="J204" s="420"/>
      <c r="K204" s="47" t="n">
        <f>IF(AND(C204="Comisiones",H204="Sí"),IFERROR(J204*VLOOKUP(A204,PRODUCTOS!$A$6:$G$35,7,FALSE)*VLOOKUP(A204,PRODUCTOS!$A$6:$C$35,3,FALSE),0),0)</f>
        <v>0</v>
      </c>
      <c r="L204" s="3"/>
      <c r="M204" s="3"/>
    </row>
    <row r="205" ht="15.75" customHeight="1">
      <c r="A205" s="386"/>
      <c r="B205" s="44" t="str">
        <f>IFERROR(VLOOKUP(A205,PRODUCTOS!$A$6:$B$35,2,FALSE),"")</f>
      </c>
      <c r="C205" s="386"/>
      <c r="D205" s="386"/>
      <c r="E205" s="412"/>
      <c r="F205" s="386"/>
      <c r="G205" s="24">
        <f t="shared" si="1"/>
        <v>0</v>
      </c>
      <c r="H205" s="386"/>
      <c r="I205" s="386"/>
      <c r="J205" s="420"/>
      <c r="K205" s="47" t="n">
        <f>IF(AND(C205="Comisiones",H205="Sí"),IFERROR(J205*VLOOKUP(A205,PRODUCTOS!$A$6:$G$35,7,FALSE)*VLOOKUP(A205,PRODUCTOS!$A$6:$C$35,3,FALSE),0),0)</f>
        <v>0</v>
      </c>
      <c r="L205" s="3"/>
      <c r="M205" s="3"/>
    </row>
    <row r="206" ht="15.75" customHeight="1">
      <c r="A206" s="386"/>
      <c r="B206" s="44" t="str">
        <f>IFERROR(VLOOKUP(A206,PRODUCTOS!$A$6:$B$35,2,FALSE),"")</f>
      </c>
      <c r="C206" s="386"/>
      <c r="D206" s="386"/>
      <c r="E206" s="412"/>
      <c r="F206" s="386"/>
      <c r="G206" s="24">
        <f t="shared" si="1"/>
        <v>0</v>
      </c>
      <c r="H206" s="386"/>
      <c r="I206" s="386"/>
      <c r="J206" s="420"/>
      <c r="K206" s="47" t="n">
        <f>IF(AND(C206="Comisiones",H206="Sí"),IFERROR(J206*VLOOKUP(A206,PRODUCTOS!$A$6:$G$35,7,FALSE)*VLOOKUP(A206,PRODUCTOS!$A$6:$C$35,3,FALSE),0),0)</f>
        <v>0</v>
      </c>
      <c r="L206" s="3"/>
      <c r="M206" s="3"/>
    </row>
    <row r="207" ht="15.75" customHeight="1">
      <c r="A207" s="386"/>
      <c r="B207" s="44" t="str">
        <f>IFERROR(VLOOKUP(A207,PRODUCTOS!$A$6:$B$35,2,FALSE),"")</f>
      </c>
      <c r="C207" s="386"/>
      <c r="D207" s="386"/>
      <c r="E207" s="412"/>
      <c r="F207" s="386"/>
      <c r="G207" s="24">
        <f t="shared" si="1"/>
        <v>0</v>
      </c>
      <c r="H207" s="386"/>
      <c r="I207" s="386"/>
      <c r="J207" s="420"/>
      <c r="K207" s="47" t="n">
        <f>IF(AND(C207="Comisiones",H207="Sí"),IFERROR(J207*VLOOKUP(A207,PRODUCTOS!$A$6:$G$35,7,FALSE)*VLOOKUP(A207,PRODUCTOS!$A$6:$C$35,3,FALSE),0),0)</f>
        <v>0</v>
      </c>
      <c r="L207" s="3"/>
      <c r="M207" s="3"/>
    </row>
    <row r="208" ht="15.75" customHeight="1">
      <c r="A208" s="386"/>
      <c r="B208" s="44" t="str">
        <f>IFERROR(VLOOKUP(A208,PRODUCTOS!$A$6:$B$35,2,FALSE),"")</f>
      </c>
      <c r="C208" s="386"/>
      <c r="D208" s="386"/>
      <c r="E208" s="412"/>
      <c r="F208" s="386"/>
      <c r="G208" s="24">
        <f t="shared" si="1"/>
        <v>0</v>
      </c>
      <c r="H208" s="386"/>
      <c r="I208" s="386"/>
      <c r="J208" s="420"/>
      <c r="K208" s="47" t="n">
        <f>IF(AND(C208="Comisiones",H208="Sí"),IFERROR(J208*VLOOKUP(A208,PRODUCTOS!$A$6:$G$35,7,FALSE)*VLOOKUP(A208,PRODUCTOS!$A$6:$C$35,3,FALSE),0),0)</f>
        <v>0</v>
      </c>
      <c r="L208" s="3"/>
      <c r="M208" s="3"/>
    </row>
    <row r="209" ht="15.75" customHeight="1">
      <c r="A209" s="386"/>
      <c r="B209" s="44" t="str">
        <f>IFERROR(VLOOKUP(A209,PRODUCTOS!$A$6:$B$35,2,FALSE),"")</f>
      </c>
      <c r="C209" s="386"/>
      <c r="D209" s="386"/>
      <c r="E209" s="412"/>
      <c r="F209" s="386"/>
      <c r="G209" s="24">
        <f t="shared" si="1"/>
        <v>0</v>
      </c>
      <c r="H209" s="386"/>
      <c r="I209" s="386"/>
      <c r="J209" s="420"/>
      <c r="K209" s="47" t="n">
        <f>IF(AND(C209="Comisiones",H209="Sí"),IFERROR(J209*VLOOKUP(A209,PRODUCTOS!$A$6:$G$35,7,FALSE)*VLOOKUP(A209,PRODUCTOS!$A$6:$C$35,3,FALSE),0),0)</f>
        <v>0</v>
      </c>
      <c r="L209" s="3"/>
      <c r="M209" s="3"/>
    </row>
    <row r="210" ht="15.75" customHeight="1">
      <c r="A210" s="386"/>
      <c r="B210" s="44" t="str">
        <f>IFERROR(VLOOKUP(A210,PRODUCTOS!$A$6:$B$35,2,FALSE),"")</f>
      </c>
      <c r="C210" s="386"/>
      <c r="D210" s="386"/>
      <c r="E210" s="412"/>
      <c r="F210" s="386"/>
      <c r="G210" s="24">
        <f t="shared" si="1"/>
        <v>0</v>
      </c>
      <c r="H210" s="386"/>
      <c r="I210" s="386"/>
      <c r="J210" s="420"/>
      <c r="K210" s="47" t="n">
        <f>IF(AND(C210="Comisiones",H210="Sí"),IFERROR(J210*VLOOKUP(A210,PRODUCTOS!$A$6:$G$35,7,FALSE)*VLOOKUP(A210,PRODUCTOS!$A$6:$C$35,3,FALSE),0),0)</f>
        <v>0</v>
      </c>
      <c r="L210" s="3"/>
      <c r="M210" s="3"/>
    </row>
    <row r="211" ht="15.75" customHeight="1">
      <c r="A211" s="386"/>
      <c r="B211" s="44" t="str">
        <f>IFERROR(VLOOKUP(A211,PRODUCTOS!$A$6:$B$35,2,FALSE),"")</f>
      </c>
      <c r="C211" s="386"/>
      <c r="D211" s="386"/>
      <c r="E211" s="412"/>
      <c r="F211" s="386"/>
      <c r="G211" s="24">
        <f t="shared" si="1"/>
        <v>0</v>
      </c>
      <c r="H211" s="386"/>
      <c r="I211" s="386"/>
      <c r="J211" s="420"/>
      <c r="K211" s="47" t="n">
        <f>IF(AND(C211="Comisiones",H211="Sí"),IFERROR(J211*VLOOKUP(A211,PRODUCTOS!$A$6:$G$35,7,FALSE)*VLOOKUP(A211,PRODUCTOS!$A$6:$C$35,3,FALSE),0),0)</f>
        <v>0</v>
      </c>
      <c r="L211" s="3"/>
      <c r="M211" s="3"/>
    </row>
    <row r="212" ht="15.75" customHeight="1">
      <c r="A212" s="386"/>
      <c r="B212" s="44" t="str">
        <f>IFERROR(VLOOKUP(A212,PRODUCTOS!$A$6:$B$35,2,FALSE),"")</f>
      </c>
      <c r="C212" s="386"/>
      <c r="D212" s="386"/>
      <c r="E212" s="412"/>
      <c r="F212" s="386"/>
      <c r="G212" s="24">
        <f t="shared" si="1"/>
        <v>0</v>
      </c>
      <c r="H212" s="386"/>
      <c r="I212" s="386"/>
      <c r="J212" s="420"/>
      <c r="K212" s="47" t="n">
        <f>IF(AND(C212="Comisiones",H212="Sí"),IFERROR(J212*VLOOKUP(A212,PRODUCTOS!$A$6:$G$35,7,FALSE)*VLOOKUP(A212,PRODUCTOS!$A$6:$C$35,3,FALSE),0),0)</f>
        <v>0</v>
      </c>
      <c r="L212" s="3"/>
      <c r="M212" s="3"/>
    </row>
    <row r="213" ht="15.75" customHeight="1">
      <c r="A213" s="386"/>
      <c r="B213" s="44" t="str">
        <f>IFERROR(VLOOKUP(A213,PRODUCTOS!$A$6:$B$35,2,FALSE),"")</f>
      </c>
      <c r="C213" s="386"/>
      <c r="D213" s="386"/>
      <c r="E213" s="412"/>
      <c r="F213" s="386"/>
      <c r="G213" s="24">
        <f t="shared" si="1"/>
        <v>0</v>
      </c>
      <c r="H213" s="386"/>
      <c r="I213" s="386"/>
      <c r="J213" s="420"/>
      <c r="K213" s="47" t="n">
        <f>IF(AND(C213="Comisiones",H213="Sí"),IFERROR(J213*VLOOKUP(A213,PRODUCTOS!$A$6:$G$35,7,FALSE)*VLOOKUP(A213,PRODUCTOS!$A$6:$C$35,3,FALSE),0),0)</f>
        <v>0</v>
      </c>
      <c r="L213" s="3"/>
      <c r="M213" s="3"/>
    </row>
    <row r="214" ht="15.75" customHeight="1">
      <c r="A214" s="386"/>
      <c r="B214" s="44" t="str">
        <f>IFERROR(VLOOKUP(A214,PRODUCTOS!$A$6:$B$35,2,FALSE),"")</f>
      </c>
      <c r="C214" s="386"/>
      <c r="D214" s="386"/>
      <c r="E214" s="412"/>
      <c r="F214" s="386"/>
      <c r="G214" s="24">
        <f t="shared" si="1"/>
        <v>0</v>
      </c>
      <c r="H214" s="386"/>
      <c r="I214" s="386"/>
      <c r="J214" s="420"/>
      <c r="K214" s="47" t="n">
        <f>IF(AND(C214="Comisiones",H214="Sí"),IFERROR(J214*VLOOKUP(A214,PRODUCTOS!$A$6:$G$35,7,FALSE)*VLOOKUP(A214,PRODUCTOS!$A$6:$C$35,3,FALSE),0),0)</f>
        <v>0</v>
      </c>
      <c r="L214" s="3"/>
      <c r="M214" s="3"/>
    </row>
    <row r="215" ht="15.75" customHeight="1">
      <c r="A215" s="386"/>
      <c r="B215" s="44" t="str">
        <f>IFERROR(VLOOKUP(A215,PRODUCTOS!$A$6:$B$35,2,FALSE),"")</f>
      </c>
      <c r="C215" s="386"/>
      <c r="D215" s="386"/>
      <c r="E215" s="412"/>
      <c r="F215" s="386"/>
      <c r="G215" s="24">
        <f t="shared" si="1"/>
        <v>0</v>
      </c>
      <c r="H215" s="386"/>
      <c r="I215" s="386"/>
      <c r="J215" s="420"/>
      <c r="K215" s="47" t="n">
        <f>IF(AND(C215="Comisiones",H215="Sí"),IFERROR(J215*VLOOKUP(A215,PRODUCTOS!$A$6:$G$35,7,FALSE)*VLOOKUP(A215,PRODUCTOS!$A$6:$C$35,3,FALSE),0),0)</f>
        <v>0</v>
      </c>
      <c r="L215" s="3"/>
      <c r="M215" s="3"/>
    </row>
    <row r="216" ht="15.75" customHeight="1">
      <c r="A216" s="386"/>
      <c r="B216" s="44" t="str">
        <f>IFERROR(VLOOKUP(A216,PRODUCTOS!$A$6:$B$35,2,FALSE),"")</f>
      </c>
      <c r="C216" s="386"/>
      <c r="D216" s="386"/>
      <c r="E216" s="412"/>
      <c r="F216" s="386"/>
      <c r="G216" s="24">
        <f t="shared" si="1"/>
        <v>0</v>
      </c>
      <c r="H216" s="386"/>
      <c r="I216" s="386"/>
      <c r="J216" s="420"/>
      <c r="K216" s="47" t="n">
        <f>IF(AND(C216="Comisiones",H216="Sí"),IFERROR(J216*VLOOKUP(A216,PRODUCTOS!$A$6:$G$35,7,FALSE)*VLOOKUP(A216,PRODUCTOS!$A$6:$C$35,3,FALSE),0),0)</f>
        <v>0</v>
      </c>
      <c r="L216" s="3"/>
      <c r="M216" s="3"/>
    </row>
    <row r="217" ht="15.75" customHeight="1">
      <c r="A217" s="386"/>
      <c r="B217" s="44" t="str">
        <f>IFERROR(VLOOKUP(A217,PRODUCTOS!$A$6:$B$35,2,FALSE),"")</f>
      </c>
      <c r="C217" s="386"/>
      <c r="D217" s="386"/>
      <c r="E217" s="412"/>
      <c r="F217" s="386"/>
      <c r="G217" s="24">
        <f t="shared" si="1"/>
        <v>0</v>
      </c>
      <c r="H217" s="386"/>
      <c r="I217" s="386"/>
      <c r="J217" s="420"/>
      <c r="K217" s="47" t="n">
        <f>IF(AND(C217="Comisiones",H217="Sí"),IFERROR(J217*VLOOKUP(A217,PRODUCTOS!$A$6:$G$35,7,FALSE)*VLOOKUP(A217,PRODUCTOS!$A$6:$C$35,3,FALSE),0),0)</f>
        <v>0</v>
      </c>
      <c r="L217" s="3"/>
      <c r="M217" s="3"/>
    </row>
    <row r="218" ht="15.75" customHeight="1">
      <c r="A218" s="386"/>
      <c r="B218" s="44" t="str">
        <f>IFERROR(VLOOKUP(A218,PRODUCTOS!$A$6:$B$35,2,FALSE),"")</f>
      </c>
      <c r="C218" s="386"/>
      <c r="D218" s="386"/>
      <c r="E218" s="412"/>
      <c r="F218" s="386"/>
      <c r="G218" s="24">
        <f t="shared" si="1"/>
        <v>0</v>
      </c>
      <c r="H218" s="386"/>
      <c r="I218" s="386"/>
      <c r="J218" s="420"/>
      <c r="K218" s="47" t="n">
        <f>IF(AND(C218="Comisiones",H218="Sí"),IFERROR(J218*VLOOKUP(A218,PRODUCTOS!$A$6:$G$35,7,FALSE)*VLOOKUP(A218,PRODUCTOS!$A$6:$C$35,3,FALSE),0),0)</f>
        <v>0</v>
      </c>
      <c r="L218" s="3"/>
      <c r="M218" s="3"/>
    </row>
    <row r="219" ht="15.75" customHeight="1">
      <c r="A219" s="386"/>
      <c r="B219" s="44" t="str">
        <f>IFERROR(VLOOKUP(A219,PRODUCTOS!$A$6:$B$35,2,FALSE),"")</f>
      </c>
      <c r="C219" s="386"/>
      <c r="D219" s="386"/>
      <c r="E219" s="412"/>
      <c r="F219" s="386"/>
      <c r="G219" s="24">
        <f t="shared" si="1"/>
        <v>0</v>
      </c>
      <c r="H219" s="386"/>
      <c r="I219" s="386"/>
      <c r="J219" s="420"/>
      <c r="K219" s="47" t="n">
        <f>IF(AND(C219="Comisiones",H219="Sí"),IFERROR(J219*VLOOKUP(A219,PRODUCTOS!$A$6:$G$35,7,FALSE)*VLOOKUP(A219,PRODUCTOS!$A$6:$C$35,3,FALSE),0),0)</f>
        <v>0</v>
      </c>
      <c r="L219" s="3"/>
      <c r="M219" s="3"/>
    </row>
    <row r="220" ht="15.75" customHeight="1">
      <c r="A220" s="386"/>
      <c r="B220" s="44" t="str">
        <f>IFERROR(VLOOKUP(A220,PRODUCTOS!$A$6:$B$35,2,FALSE),"")</f>
      </c>
      <c r="C220" s="386"/>
      <c r="D220" s="386"/>
      <c r="E220" s="412"/>
      <c r="F220" s="386"/>
      <c r="G220" s="24">
        <f t="shared" si="1"/>
        <v>0</v>
      </c>
      <c r="H220" s="386"/>
      <c r="I220" s="386"/>
      <c r="J220" s="420"/>
      <c r="K220" s="47" t="n">
        <f>IF(AND(C220="Comisiones",H220="Sí"),IFERROR(J220*VLOOKUP(A220,PRODUCTOS!$A$6:$G$35,7,FALSE)*VLOOKUP(A220,PRODUCTOS!$A$6:$C$35,3,FALSE),0),0)</f>
        <v>0</v>
      </c>
      <c r="L220" s="3"/>
      <c r="M220" s="3"/>
    </row>
    <row r="221" ht="15.75" customHeight="1">
      <c r="A221" s="386"/>
      <c r="B221" s="44" t="str">
        <f>IFERROR(VLOOKUP(A221,PRODUCTOS!$A$6:$B$35,2,FALSE),"")</f>
      </c>
      <c r="C221" s="386"/>
      <c r="D221" s="386"/>
      <c r="E221" s="412"/>
      <c r="F221" s="386"/>
      <c r="G221" s="24">
        <f t="shared" si="1"/>
        <v>0</v>
      </c>
      <c r="H221" s="386"/>
      <c r="I221" s="386"/>
      <c r="J221" s="420"/>
      <c r="K221" s="47" t="n">
        <f>IF(AND(C221="Comisiones",H221="Sí"),IFERROR(J221*VLOOKUP(A221,PRODUCTOS!$A$6:$G$35,7,FALSE)*VLOOKUP(A221,PRODUCTOS!$A$6:$C$35,3,FALSE),0),0)</f>
        <v>0</v>
      </c>
      <c r="L221" s="3"/>
      <c r="M221" s="3"/>
    </row>
    <row r="222" ht="15.75" customHeight="1">
      <c r="A222" s="386"/>
      <c r="B222" s="44" t="str">
        <f>IFERROR(VLOOKUP(A222,PRODUCTOS!$A$6:$B$35,2,FALSE),"")</f>
      </c>
      <c r="C222" s="386"/>
      <c r="D222" s="386"/>
      <c r="E222" s="412"/>
      <c r="F222" s="386"/>
      <c r="G222" s="24">
        <f t="shared" si="1"/>
        <v>0</v>
      </c>
      <c r="H222" s="386"/>
      <c r="I222" s="386"/>
      <c r="J222" s="420"/>
      <c r="K222" s="47" t="n">
        <f>IF(AND(C222="Comisiones",H222="Sí"),IFERROR(J222*VLOOKUP(A222,PRODUCTOS!$A$6:$G$35,7,FALSE)*VLOOKUP(A222,PRODUCTOS!$A$6:$C$35,3,FALSE),0),0)</f>
        <v>0</v>
      </c>
      <c r="L222" s="3"/>
      <c r="M222" s="3"/>
    </row>
    <row r="223" ht="15.75" customHeight="1">
      <c r="A223" s="386"/>
      <c r="B223" s="44" t="str">
        <f>IFERROR(VLOOKUP(A223,PRODUCTOS!$A$6:$B$35,2,FALSE),"")</f>
      </c>
      <c r="C223" s="386"/>
      <c r="D223" s="386"/>
      <c r="E223" s="412"/>
      <c r="F223" s="386"/>
      <c r="G223" s="24">
        <f t="shared" si="1"/>
        <v>0</v>
      </c>
      <c r="H223" s="386"/>
      <c r="I223" s="386"/>
      <c r="J223" s="420"/>
      <c r="K223" s="47" t="n">
        <f>IF(AND(C223="Comisiones",H223="Sí"),IFERROR(J223*VLOOKUP(A223,PRODUCTOS!$A$6:$G$35,7,FALSE)*VLOOKUP(A223,PRODUCTOS!$A$6:$C$35,3,FALSE),0),0)</f>
        <v>0</v>
      </c>
      <c r="L223" s="3"/>
      <c r="M223" s="3"/>
    </row>
    <row r="224" ht="15.75" customHeight="1">
      <c r="A224" s="386"/>
      <c r="B224" s="44" t="str">
        <f>IFERROR(VLOOKUP(A224,PRODUCTOS!$A$6:$B$35,2,FALSE),"")</f>
      </c>
      <c r="C224" s="386"/>
      <c r="D224" s="386"/>
      <c r="E224" s="412"/>
      <c r="F224" s="386"/>
      <c r="G224" s="24">
        <f t="shared" si="1"/>
        <v>0</v>
      </c>
      <c r="H224" s="386"/>
      <c r="I224" s="386"/>
      <c r="J224" s="420"/>
      <c r="K224" s="47" t="n">
        <f>IF(AND(C224="Comisiones",H224="Sí"),IFERROR(J224*VLOOKUP(A224,PRODUCTOS!$A$6:$G$35,7,FALSE)*VLOOKUP(A224,PRODUCTOS!$A$6:$C$35,3,FALSE),0),0)</f>
        <v>0</v>
      </c>
      <c r="L224" s="3"/>
      <c r="M224" s="3"/>
    </row>
    <row r="225" ht="15.75" customHeight="1">
      <c r="A225" s="386"/>
      <c r="B225" s="44" t="str">
        <f>IFERROR(VLOOKUP(A225,PRODUCTOS!$A$6:$B$35,2,FALSE),"")</f>
      </c>
      <c r="C225" s="386"/>
      <c r="D225" s="386"/>
      <c r="E225" s="412"/>
      <c r="F225" s="386"/>
      <c r="G225" s="24">
        <f t="shared" si="1"/>
        <v>0</v>
      </c>
      <c r="H225" s="386"/>
      <c r="I225" s="386"/>
      <c r="J225" s="420"/>
      <c r="K225" s="47" t="n">
        <f>IF(AND(C225="Comisiones",H225="Sí"),IFERROR(J225*VLOOKUP(A225,PRODUCTOS!$A$6:$G$35,7,FALSE)*VLOOKUP(A225,PRODUCTOS!$A$6:$C$35,3,FALSE),0),0)</f>
        <v>0</v>
      </c>
      <c r="L225" s="3"/>
      <c r="M225" s="3"/>
    </row>
    <row r="226" ht="15.75" customHeight="1">
      <c r="A226" s="386"/>
      <c r="B226" s="44" t="str">
        <f>IFERROR(VLOOKUP(A226,PRODUCTOS!$A$6:$B$35,2,FALSE),"")</f>
      </c>
      <c r="C226" s="386"/>
      <c r="D226" s="386"/>
      <c r="E226" s="412"/>
      <c r="F226" s="386"/>
      <c r="G226" s="24">
        <f t="shared" si="1"/>
        <v>0</v>
      </c>
      <c r="H226" s="386"/>
      <c r="I226" s="386"/>
      <c r="J226" s="420"/>
      <c r="K226" s="47" t="n">
        <f>IF(AND(C226="Comisiones",H226="Sí"),IFERROR(J226*VLOOKUP(A226,PRODUCTOS!$A$6:$G$35,7,FALSE)*VLOOKUP(A226,PRODUCTOS!$A$6:$C$35,3,FALSE),0),0)</f>
        <v>0</v>
      </c>
      <c r="L226" s="3"/>
      <c r="M226" s="3"/>
    </row>
    <row r="227" ht="15.75" customHeight="1">
      <c r="A227" s="386"/>
      <c r="B227" s="44" t="str">
        <f>IFERROR(VLOOKUP(A227,PRODUCTOS!$A$6:$B$35,2,FALSE),"")</f>
      </c>
      <c r="C227" s="386"/>
      <c r="D227" s="386"/>
      <c r="E227" s="412"/>
      <c r="F227" s="386"/>
      <c r="G227" s="24">
        <f t="shared" si="1"/>
        <v>0</v>
      </c>
      <c r="H227" s="386"/>
      <c r="I227" s="386"/>
      <c r="J227" s="420"/>
      <c r="K227" s="47" t="n">
        <f>IF(AND(C227="Comisiones",H227="Sí"),IFERROR(J227*VLOOKUP(A227,PRODUCTOS!$A$6:$G$35,7,FALSE)*VLOOKUP(A227,PRODUCTOS!$A$6:$C$35,3,FALSE),0),0)</f>
        <v>0</v>
      </c>
      <c r="L227" s="3"/>
      <c r="M227" s="3"/>
    </row>
    <row r="228" ht="15.75" customHeight="1">
      <c r="A228" s="386"/>
      <c r="B228" s="44" t="str">
        <f>IFERROR(VLOOKUP(A228,PRODUCTOS!$A$6:$B$35,2,FALSE),"")</f>
      </c>
      <c r="C228" s="386"/>
      <c r="D228" s="386"/>
      <c r="E228" s="412"/>
      <c r="F228" s="386"/>
      <c r="G228" s="24">
        <f t="shared" si="1"/>
        <v>0</v>
      </c>
      <c r="H228" s="386"/>
      <c r="I228" s="386"/>
      <c r="J228" s="420"/>
      <c r="K228" s="47" t="n">
        <f>IF(AND(C228="Comisiones",H228="Sí"),IFERROR(J228*VLOOKUP(A228,PRODUCTOS!$A$6:$G$35,7,FALSE)*VLOOKUP(A228,PRODUCTOS!$A$6:$C$35,3,FALSE),0),0)</f>
        <v>0</v>
      </c>
      <c r="L228" s="3"/>
      <c r="M228" s="3"/>
    </row>
    <row r="229" ht="15.75" customHeight="1">
      <c r="A229" s="386"/>
      <c r="B229" s="44" t="str">
        <f>IFERROR(VLOOKUP(A229,PRODUCTOS!$A$6:$B$35,2,FALSE),"")</f>
      </c>
      <c r="C229" s="386"/>
      <c r="D229" s="386"/>
      <c r="E229" s="412"/>
      <c r="F229" s="386"/>
      <c r="G229" s="24">
        <f t="shared" si="1"/>
        <v>0</v>
      </c>
      <c r="H229" s="386"/>
      <c r="I229" s="386"/>
      <c r="J229" s="420"/>
      <c r="K229" s="47" t="n">
        <f>IF(AND(C229="Comisiones",H229="Sí"),IFERROR(J229*VLOOKUP(A229,PRODUCTOS!$A$6:$G$35,7,FALSE)*VLOOKUP(A229,PRODUCTOS!$A$6:$C$35,3,FALSE),0),0)</f>
        <v>0</v>
      </c>
      <c r="L229" s="3"/>
      <c r="M229" s="3"/>
    </row>
    <row r="230" ht="15.75" customHeight="1">
      <c r="A230" s="386"/>
      <c r="B230" s="44" t="str">
        <f>IFERROR(VLOOKUP(A230,PRODUCTOS!$A$6:$B$35,2,FALSE),"")</f>
      </c>
      <c r="C230" s="386"/>
      <c r="D230" s="386"/>
      <c r="E230" s="412"/>
      <c r="F230" s="386"/>
      <c r="G230" s="24">
        <f t="shared" si="1"/>
        <v>0</v>
      </c>
      <c r="H230" s="386"/>
      <c r="I230" s="386"/>
      <c r="J230" s="420"/>
      <c r="K230" s="47" t="n">
        <f>IF(AND(C230="Comisiones",H230="Sí"),IFERROR(J230*VLOOKUP(A230,PRODUCTOS!$A$6:$G$35,7,FALSE)*VLOOKUP(A230,PRODUCTOS!$A$6:$C$35,3,FALSE),0),0)</f>
        <v>0</v>
      </c>
      <c r="L230" s="3"/>
      <c r="M230" s="3"/>
    </row>
    <row r="231" ht="15.75" customHeight="1">
      <c r="A231" s="386"/>
      <c r="B231" s="44" t="str">
        <f>IFERROR(VLOOKUP(A231,PRODUCTOS!$A$6:$B$35,2,FALSE),"")</f>
      </c>
      <c r="C231" s="386"/>
      <c r="D231" s="386"/>
      <c r="E231" s="412"/>
      <c r="F231" s="386"/>
      <c r="G231" s="24">
        <f t="shared" si="1"/>
        <v>0</v>
      </c>
      <c r="H231" s="386"/>
      <c r="I231" s="386"/>
      <c r="J231" s="420"/>
      <c r="K231" s="47" t="n">
        <f>IF(AND(C231="Comisiones",H231="Sí"),IFERROR(J231*VLOOKUP(A231,PRODUCTOS!$A$6:$G$35,7,FALSE)*VLOOKUP(A231,PRODUCTOS!$A$6:$C$35,3,FALSE),0),0)</f>
        <v>0</v>
      </c>
      <c r="L231" s="3"/>
      <c r="M231" s="3"/>
    </row>
    <row r="232" ht="15.75" customHeight="1">
      <c r="A232" s="386"/>
      <c r="B232" s="44" t="str">
        <f>IFERROR(VLOOKUP(A232,PRODUCTOS!$A$6:$B$35,2,FALSE),"")</f>
      </c>
      <c r="C232" s="386"/>
      <c r="D232" s="386"/>
      <c r="E232" s="412"/>
      <c r="F232" s="386"/>
      <c r="G232" s="24">
        <f t="shared" si="1"/>
        <v>0</v>
      </c>
      <c r="H232" s="386"/>
      <c r="I232" s="386"/>
      <c r="J232" s="420"/>
      <c r="K232" s="47" t="n">
        <f>IF(AND(C232="Comisiones",H232="Sí"),IFERROR(J232*VLOOKUP(A232,PRODUCTOS!$A$6:$G$35,7,FALSE)*VLOOKUP(A232,PRODUCTOS!$A$6:$C$35,3,FALSE),0),0)</f>
        <v>0</v>
      </c>
      <c r="L232" s="3"/>
      <c r="M232" s="3"/>
    </row>
    <row r="233" ht="15.75" customHeight="1">
      <c r="A233" s="386"/>
      <c r="B233" s="44" t="str">
        <f>IFERROR(VLOOKUP(A233,PRODUCTOS!$A$6:$B$35,2,FALSE),"")</f>
      </c>
      <c r="C233" s="386"/>
      <c r="D233" s="386"/>
      <c r="E233" s="412"/>
      <c r="F233" s="386"/>
      <c r="G233" s="24">
        <f t="shared" si="1"/>
        <v>0</v>
      </c>
      <c r="H233" s="386"/>
      <c r="I233" s="386"/>
      <c r="J233" s="420"/>
      <c r="K233" s="47" t="n">
        <f>IF(AND(C233="Comisiones",H233="Sí"),IFERROR(J233*VLOOKUP(A233,PRODUCTOS!$A$6:$G$35,7,FALSE)*VLOOKUP(A233,PRODUCTOS!$A$6:$C$35,3,FALSE),0),0)</f>
        <v>0</v>
      </c>
      <c r="L233" s="3"/>
      <c r="M233" s="3"/>
    </row>
    <row r="234" ht="15.75" customHeight="1">
      <c r="A234" s="386"/>
      <c r="B234" s="44" t="str">
        <f>IFERROR(VLOOKUP(A234,PRODUCTOS!$A$6:$B$35,2,FALSE),"")</f>
      </c>
      <c r="C234" s="386"/>
      <c r="D234" s="386"/>
      <c r="E234" s="412"/>
      <c r="F234" s="386"/>
      <c r="G234" s="24">
        <f t="shared" si="1"/>
        <v>0</v>
      </c>
      <c r="H234" s="386"/>
      <c r="I234" s="386"/>
      <c r="J234" s="420"/>
      <c r="K234" s="47" t="n">
        <f>IF(AND(C234="Comisiones",H234="Sí"),IFERROR(J234*VLOOKUP(A234,PRODUCTOS!$A$6:$G$35,7,FALSE)*VLOOKUP(A234,PRODUCTOS!$A$6:$C$35,3,FALSE),0),0)</f>
        <v>0</v>
      </c>
      <c r="L234" s="3"/>
      <c r="M234" s="3"/>
    </row>
    <row r="235" ht="15.75" customHeight="1">
      <c r="A235" s="386"/>
      <c r="B235" s="44" t="str">
        <f>IFERROR(VLOOKUP(A235,PRODUCTOS!$A$6:$B$35,2,FALSE),"")</f>
      </c>
      <c r="C235" s="386"/>
      <c r="D235" s="386"/>
      <c r="E235" s="412"/>
      <c r="F235" s="386"/>
      <c r="G235" s="24">
        <f t="shared" si="1"/>
        <v>0</v>
      </c>
      <c r="H235" s="386"/>
      <c r="I235" s="386"/>
      <c r="J235" s="420"/>
      <c r="K235" s="47" t="n">
        <f>IF(AND(C235="Comisiones",H235="Sí"),IFERROR(J235*VLOOKUP(A235,PRODUCTOS!$A$6:$G$35,7,FALSE)*VLOOKUP(A235,PRODUCTOS!$A$6:$C$35,3,FALSE),0),0)</f>
        <v>0</v>
      </c>
      <c r="L235" s="3"/>
      <c r="M235" s="3"/>
    </row>
    <row r="236" ht="15.75" customHeight="1">
      <c r="A236" s="386"/>
      <c r="B236" s="44" t="str">
        <f>IFERROR(VLOOKUP(A236,PRODUCTOS!$A$6:$B$35,2,FALSE),"")</f>
      </c>
      <c r="C236" s="386"/>
      <c r="D236" s="386"/>
      <c r="E236" s="412"/>
      <c r="F236" s="386"/>
      <c r="G236" s="24">
        <f t="shared" si="1"/>
        <v>0</v>
      </c>
      <c r="H236" s="386"/>
      <c r="I236" s="386"/>
      <c r="J236" s="420"/>
      <c r="K236" s="47" t="n">
        <f>IF(AND(C236="Comisiones",H236="Sí"),IFERROR(J236*VLOOKUP(A236,PRODUCTOS!$A$6:$G$35,7,FALSE)*VLOOKUP(A236,PRODUCTOS!$A$6:$C$35,3,FALSE),0),0)</f>
        <v>0</v>
      </c>
      <c r="L236" s="3"/>
      <c r="M236" s="3"/>
    </row>
    <row r="237" ht="15.75" customHeight="1">
      <c r="A237" s="386"/>
      <c r="B237" s="44" t="str">
        <f>IFERROR(VLOOKUP(A237,PRODUCTOS!$A$6:$B$35,2,FALSE),"")</f>
      </c>
      <c r="C237" s="386"/>
      <c r="D237" s="386"/>
      <c r="E237" s="412"/>
      <c r="F237" s="386"/>
      <c r="G237" s="24">
        <f t="shared" si="1"/>
        <v>0</v>
      </c>
      <c r="H237" s="386"/>
      <c r="I237" s="386"/>
      <c r="J237" s="420"/>
      <c r="K237" s="47" t="n">
        <f>IF(AND(C237="Comisiones",H237="Sí"),IFERROR(J237*VLOOKUP(A237,PRODUCTOS!$A$6:$G$35,7,FALSE)*VLOOKUP(A237,PRODUCTOS!$A$6:$C$35,3,FALSE),0),0)</f>
        <v>0</v>
      </c>
      <c r="L237" s="3"/>
      <c r="M237" s="3"/>
    </row>
    <row r="238" ht="15.75" customHeight="1">
      <c r="A238" s="386"/>
      <c r="B238" s="44" t="str">
        <f>IFERROR(VLOOKUP(A238,PRODUCTOS!$A$6:$B$35,2,FALSE),"")</f>
      </c>
      <c r="C238" s="386"/>
      <c r="D238" s="386"/>
      <c r="E238" s="412"/>
      <c r="F238" s="386"/>
      <c r="G238" s="24">
        <f t="shared" si="1"/>
        <v>0</v>
      </c>
      <c r="H238" s="386"/>
      <c r="I238" s="386"/>
      <c r="J238" s="420"/>
      <c r="K238" s="47" t="n">
        <f>IF(AND(C238="Comisiones",H238="Sí"),IFERROR(J238*VLOOKUP(A238,PRODUCTOS!$A$6:$G$35,7,FALSE)*VLOOKUP(A238,PRODUCTOS!$A$6:$C$35,3,FALSE),0),0)</f>
        <v>0</v>
      </c>
      <c r="L238" s="3"/>
      <c r="M238" s="3"/>
    </row>
    <row r="239" ht="15.75" customHeight="1">
      <c r="A239" s="386"/>
      <c r="B239" s="44" t="str">
        <f>IFERROR(VLOOKUP(A239,PRODUCTOS!$A$6:$B$35,2,FALSE),"")</f>
      </c>
      <c r="C239" s="386"/>
      <c r="D239" s="386"/>
      <c r="E239" s="412"/>
      <c r="F239" s="386"/>
      <c r="G239" s="24">
        <f t="shared" si="1"/>
        <v>0</v>
      </c>
      <c r="H239" s="386"/>
      <c r="I239" s="386"/>
      <c r="J239" s="420"/>
      <c r="K239" s="47" t="n">
        <f>IF(AND(C239="Comisiones",H239="Sí"),IFERROR(J239*VLOOKUP(A239,PRODUCTOS!$A$6:$G$35,7,FALSE)*VLOOKUP(A239,PRODUCTOS!$A$6:$C$35,3,FALSE),0),0)</f>
        <v>0</v>
      </c>
      <c r="L239" s="3"/>
      <c r="M239" s="3"/>
    </row>
    <row r="240" ht="15.75" customHeight="1">
      <c r="A240" s="386"/>
      <c r="B240" s="44" t="str">
        <f>IFERROR(VLOOKUP(A240,PRODUCTOS!$A$6:$B$35,2,FALSE),"")</f>
      </c>
      <c r="C240" s="386"/>
      <c r="D240" s="386"/>
      <c r="E240" s="412"/>
      <c r="F240" s="386"/>
      <c r="G240" s="24">
        <f t="shared" si="1"/>
        <v>0</v>
      </c>
      <c r="H240" s="386"/>
      <c r="I240" s="386"/>
      <c r="J240" s="420"/>
      <c r="K240" s="47" t="n">
        <f>IF(AND(C240="Comisiones",H240="Sí"),IFERROR(J240*VLOOKUP(A240,PRODUCTOS!$A$6:$G$35,7,FALSE)*VLOOKUP(A240,PRODUCTOS!$A$6:$C$35,3,FALSE),0),0)</f>
        <v>0</v>
      </c>
      <c r="L240" s="3"/>
      <c r="M240" s="3"/>
    </row>
    <row r="241" ht="15.75" customHeight="1">
      <c r="A241" s="386"/>
      <c r="B241" s="44" t="str">
        <f>IFERROR(VLOOKUP(A241,PRODUCTOS!$A$6:$B$35,2,FALSE),"")</f>
      </c>
      <c r="C241" s="386"/>
      <c r="D241" s="386"/>
      <c r="E241" s="412"/>
      <c r="F241" s="386"/>
      <c r="G241" s="24">
        <f t="shared" si="1"/>
        <v>0</v>
      </c>
      <c r="H241" s="386"/>
      <c r="I241" s="386"/>
      <c r="J241" s="420"/>
      <c r="K241" s="47" t="n">
        <f>IF(AND(C241="Comisiones",H241="Sí"),IFERROR(J241*VLOOKUP(A241,PRODUCTOS!$A$6:$G$35,7,FALSE)*VLOOKUP(A241,PRODUCTOS!$A$6:$C$35,3,FALSE),0),0)</f>
        <v>0</v>
      </c>
      <c r="L241" s="3"/>
      <c r="M241" s="3"/>
    </row>
    <row r="242" ht="15.75" customHeight="1">
      <c r="A242" s="386"/>
      <c r="B242" s="44" t="str">
        <f>IFERROR(VLOOKUP(A242,PRODUCTOS!$A$6:$B$35,2,FALSE),"")</f>
      </c>
      <c r="C242" s="386"/>
      <c r="D242" s="386"/>
      <c r="E242" s="412"/>
      <c r="F242" s="386"/>
      <c r="G242" s="24">
        <f t="shared" si="1"/>
        <v>0</v>
      </c>
      <c r="H242" s="386"/>
      <c r="I242" s="386"/>
      <c r="J242" s="420"/>
      <c r="K242" s="47" t="n">
        <f>IF(AND(C242="Comisiones",H242="Sí"),IFERROR(J242*VLOOKUP(A242,PRODUCTOS!$A$6:$G$35,7,FALSE)*VLOOKUP(A242,PRODUCTOS!$A$6:$C$35,3,FALSE),0),0)</f>
        <v>0</v>
      </c>
      <c r="L242" s="3"/>
      <c r="M242" s="3"/>
    </row>
    <row r="243" ht="15.75" customHeight="1">
      <c r="A243" s="386"/>
      <c r="B243" s="44" t="str">
        <f>IFERROR(VLOOKUP(A243,PRODUCTOS!$A$6:$B$35,2,FALSE),"")</f>
      </c>
      <c r="C243" s="386"/>
      <c r="D243" s="386"/>
      <c r="E243" s="412"/>
      <c r="F243" s="386"/>
      <c r="G243" s="24">
        <f t="shared" si="1"/>
        <v>0</v>
      </c>
      <c r="H243" s="386"/>
      <c r="I243" s="386"/>
      <c r="J243" s="420"/>
      <c r="K243" s="47" t="n">
        <f>IF(AND(C243="Comisiones",H243="Sí"),IFERROR(J243*VLOOKUP(A243,PRODUCTOS!$A$6:$G$35,7,FALSE)*VLOOKUP(A243,PRODUCTOS!$A$6:$C$35,3,FALSE),0),0)</f>
        <v>0</v>
      </c>
      <c r="L243" s="3"/>
      <c r="M243" s="3"/>
    </row>
    <row r="244" ht="15.75" customHeight="1">
      <c r="A244" s="386"/>
      <c r="B244" s="44" t="str">
        <f>IFERROR(VLOOKUP(A244,PRODUCTOS!$A$6:$B$35,2,FALSE),"")</f>
      </c>
      <c r="C244" s="386"/>
      <c r="D244" s="386"/>
      <c r="E244" s="412"/>
      <c r="F244" s="386"/>
      <c r="G244" s="24">
        <f t="shared" si="1"/>
        <v>0</v>
      </c>
      <c r="H244" s="386"/>
      <c r="I244" s="386"/>
      <c r="J244" s="420"/>
      <c r="K244" s="47" t="n">
        <f>IF(AND(C244="Comisiones",H244="Sí"),IFERROR(J244*VLOOKUP(A244,PRODUCTOS!$A$6:$G$35,7,FALSE)*VLOOKUP(A244,PRODUCTOS!$A$6:$C$35,3,FALSE),0),0)</f>
        <v>0</v>
      </c>
      <c r="L244" s="3"/>
      <c r="M244" s="3"/>
    </row>
    <row r="245" ht="15.75" customHeight="1">
      <c r="A245" s="386"/>
      <c r="B245" s="44" t="str">
        <f>IFERROR(VLOOKUP(A245,PRODUCTOS!$A$6:$B$35,2,FALSE),"")</f>
      </c>
      <c r="C245" s="386"/>
      <c r="D245" s="386"/>
      <c r="E245" s="412"/>
      <c r="F245" s="386"/>
      <c r="G245" s="24">
        <f t="shared" si="1"/>
        <v>0</v>
      </c>
      <c r="H245" s="386"/>
      <c r="I245" s="386"/>
      <c r="J245" s="420"/>
      <c r="K245" s="47" t="n">
        <f>IF(AND(C245="Comisiones",H245="Sí"),IFERROR(J245*VLOOKUP(A245,PRODUCTOS!$A$6:$G$35,7,FALSE)*VLOOKUP(A245,PRODUCTOS!$A$6:$C$35,3,FALSE),0),0)</f>
        <v>0</v>
      </c>
      <c r="L245" s="3"/>
      <c r="M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</row>
  </sheetData>
  <sheetProtection sheet="1" objects="1" scenarios="1" selectLockedCells="1" selectUnlockedCells="0"/>
  <mergeCells>
    <mergeCell ref="A1:I2"/>
    <mergeCell ref="A3:I3"/>
  </mergeCells>
  <dataValidations count="3">
    <dataValidation type="list" allowBlank="1" sqref="H6:H245">
      <formula1>"Sí,No"</formula1>
    </dataValidation>
    <dataValidation type="list" allowBlank="1" sqref="C6:C245">
      <formula1>"Empaque,Etiqueta,Consumibles,Mano de obra,Servicios,Transporte / prorrateo,Comisiones,Otros"</formula1>
    </dataValidation>
    <dataValidation type="list" allowBlank="1" sqref="A6:A245">
      <formula1>PRODUCTOS!$A$6:$A$35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ColWidth="12.630000114440918" defaultRowHeight="15"/>
  <cols>
    <col min="1" max="1" width="10" customWidth="1"/>
    <col min="2" max="2" width="27" customWidth="1"/>
    <col min="3" max="3" width="17" customWidth="1"/>
    <col min="4" max="4" width="12" customWidth="1"/>
    <col min="5" max="6" width="17" customWidth="1"/>
    <col min="7" max="7" width="18" customWidth="1"/>
    <col min="8" max="8" width="15" customWidth="1"/>
    <col min="9" max="10" width="18" customWidth="1"/>
    <col min="11" max="11" width="24" customWidth="1"/>
    <col min="12" max="12" width="19" customWidth="1"/>
    <col min="13" max="13" width="18" customWidth="1"/>
    <col min="14" max="26" width="8.630000114440918" customWidth="1"/>
  </cols>
  <sheetData>
    <row r="1">
      <c r="A1" s="1" t="s">
        <v>201</v>
      </c>
      <c r="L1" s="3"/>
      <c r="M1" s="3"/>
    </row>
    <row r="2">
      <c r="L2" s="3"/>
      <c r="M2" s="3"/>
    </row>
    <row r="3">
      <c r="A3" s="11" t="s">
        <v>202</v>
      </c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6" t="s">
        <v>120</v>
      </c>
      <c r="B5" s="6" t="s">
        <v>121</v>
      </c>
      <c r="C5" s="6" t="s">
        <v>203</v>
      </c>
      <c r="D5" s="6" t="s">
        <v>204</v>
      </c>
      <c r="E5" s="6" t="s">
        <v>131</v>
      </c>
      <c r="F5" s="6" t="s">
        <v>126</v>
      </c>
      <c r="G5" s="6" t="s">
        <v>205</v>
      </c>
      <c r="H5" s="6" t="s">
        <v>206</v>
      </c>
      <c r="I5" s="6" t="s">
        <v>132</v>
      </c>
      <c r="J5" s="6" t="s">
        <v>207</v>
      </c>
      <c r="K5" s="6" t="s">
        <v>208</v>
      </c>
      <c r="L5" s="48" t="s">
        <v>133</v>
      </c>
      <c r="M5" s="48" t="s">
        <v>209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3" t="str">
        <f>PRODUCTOS!A6</f>
        <v>P01</v>
      </c>
      <c r="B6" s="3" t="str">
        <f>PRODUCTOS!B6</f>
        <v>Jabón de Café </v>
      </c>
      <c r="C6" s="49" t="n">
        <f>PRODUCTOS!K6</f>
        <v>55669.4771239</v>
      </c>
      <c r="D6" s="50" t="n">
        <f>PRODUCTOS!C6</f>
        <v>12</v>
      </c>
      <c r="E6" s="49" t="n">
        <f>PRODUCTOS!L6</f>
        <v>4639.123093658333</v>
      </c>
      <c r="F6" s="49" t="n">
        <f>PRODUCTOS!G6</f>
        <v>13000</v>
      </c>
      <c r="G6" s="49" t="n">
        <f t="shared" ref="G6:G35" si="1">IFERROR(F6-E6,0)</f>
        <v>8360.876906341666</v>
      </c>
      <c r="H6" s="51" t="n">
        <f t="shared" ref="H6:H35" si="2">IFERROR(G6/F6,0)</f>
        <v>0.6431443774108974</v>
      </c>
      <c r="I6" s="49" t="n">
        <f>PRODUCTOS!M6</f>
        <v>11597.807734145832</v>
      </c>
      <c r="J6" s="49" t="n">
        <f t="shared" ref="J6:J35" si="3">F6-I6</f>
        <v>1402.192265854168</v>
      </c>
      <c r="K6" s="3" t="str">
        <f t="shared" ref="K6:K35" si="4">IF(B6="","",IF(F6=0,"Sin precio",IF(F6&lt;E6,"Revisar: bajo costo",IF(F6&lt;I6,"Por debajo del sugerido","OK"))))</f>
        <v>OK</v>
      </c>
      <c r="L6" s="51" t="n">
        <f t="shared" ref="L6:L35" si="5">IFERROR(G6/E6,0)</f>
        <v>1.8022537314801925</v>
      </c>
      <c r="M6" s="49" t="n">
        <f>PRODUCTOS!O6</f>
        <v>12000</v>
      </c>
    </row>
    <row r="7">
      <c r="A7" s="3" t="str">
        <f>PRODUCTOS!A7</f>
        <v>P02</v>
      </c>
      <c r="B7" s="3" t="str">
        <f>PRODUCTOS!B7</f>
        <v>Jabón de Miel y Avena </v>
      </c>
      <c r="C7" s="49" t="n">
        <f>PRODUCTOS!K7</f>
        <v>50552.66667</v>
      </c>
      <c r="D7" s="50" t="n">
        <f>PRODUCTOS!C7</f>
        <v>12</v>
      </c>
      <c r="E7" s="49" t="n">
        <f>PRODUCTOS!L7</f>
        <v>4212.722222</v>
      </c>
      <c r="F7" s="49" t="n">
        <f>PRODUCTOS!G7</f>
        <v>13000</v>
      </c>
      <c r="G7" s="49">
        <f t="shared" si="1"/>
        <v>8787.277778</v>
      </c>
      <c r="H7" s="51">
        <f t="shared" si="2"/>
        <v>0.6759444444</v>
      </c>
      <c r="I7" s="49" t="n">
        <f>PRODUCTOS!M7</f>
        <v>10531.80556</v>
      </c>
      <c r="J7" s="49">
        <f t="shared" si="3"/>
        <v>2468.194444</v>
      </c>
      <c r="K7" s="3" t="str">
        <f t="shared" si="4"/>
        <v>OK</v>
      </c>
      <c r="L7" s="51">
        <f t="shared" si="5"/>
        <v>2.085890622</v>
      </c>
      <c r="M7" s="49" t="n">
        <f>PRODUCTOS!O7</f>
        <v>11000</v>
      </c>
    </row>
    <row r="8">
      <c r="A8" s="3" t="str">
        <f>PRODUCTOS!A8</f>
        <v>P03</v>
      </c>
      <c r="B8" s="3" t="str">
        <f>PRODUCTOS!B8</f>
        <v>Jabón de Mentol </v>
      </c>
      <c r="C8" s="49" t="n">
        <f>PRODUCTOS!K8</f>
        <v>67409.33333</v>
      </c>
      <c r="D8" s="50" t="n">
        <f>PRODUCTOS!C8</f>
        <v>12</v>
      </c>
      <c r="E8" s="49" t="n">
        <f>PRODUCTOS!L8</f>
        <v>5617.444444</v>
      </c>
      <c r="F8" s="49" t="n">
        <f>PRODUCTOS!G8</f>
        <v>15000</v>
      </c>
      <c r="G8" s="49">
        <f t="shared" si="1"/>
        <v>9382.555556</v>
      </c>
      <c r="H8" s="51">
        <f t="shared" si="2"/>
        <v>0.6255037037</v>
      </c>
      <c r="I8" s="49" t="n">
        <f>PRODUCTOS!M8</f>
        <v>14043.61111</v>
      </c>
      <c r="J8" s="49">
        <f t="shared" si="3"/>
        <v>956.3888889</v>
      </c>
      <c r="K8" s="3" t="str">
        <f t="shared" si="4"/>
        <v>OK</v>
      </c>
      <c r="L8" s="51">
        <f t="shared" si="5"/>
        <v>1.670253377</v>
      </c>
      <c r="M8" s="49" t="n">
        <f>PRODUCTOS!O8</f>
        <v>14500</v>
      </c>
    </row>
    <row r="9">
      <c r="A9" s="3" t="str">
        <f>PRODUCTOS!A9</f>
        <v>P04</v>
      </c>
      <c r="B9" s="3" t="str">
        <f>PRODUCTOS!B9</f>
        <v>Jabón de Almendras</v>
      </c>
      <c r="C9" s="49" t="n">
        <f>PRODUCTOS!K9</f>
        <v>0</v>
      </c>
      <c r="D9" s="50" t="n">
        <f>PRODUCTOS!C9</f>
        <v>0</v>
      </c>
      <c r="E9" s="49" t="n">
        <f>PRODUCTOS!L9</f>
        <v>0</v>
      </c>
      <c r="F9" s="49" t="n">
        <f>PRODUCTOS!G9</f>
        <v>0</v>
      </c>
      <c r="G9" s="49">
        <f t="shared" si="1"/>
        <v>0</v>
      </c>
      <c r="H9" s="51">
        <f t="shared" si="2"/>
        <v>0</v>
      </c>
      <c r="I9" s="49" t="n">
        <f>PRODUCTOS!M9</f>
        <v>0</v>
      </c>
      <c r="J9" s="49">
        <f t="shared" si="3"/>
        <v>0</v>
      </c>
      <c r="K9" s="3" t="str">
        <f t="shared" si="4"/>
        <v>Sin precio</v>
      </c>
      <c r="L9" s="51">
        <f t="shared" si="5"/>
        <v>0</v>
      </c>
      <c r="M9" s="49" t="n">
        <f>PRODUCTOS!O9</f>
        <v>0</v>
      </c>
    </row>
    <row r="10">
      <c r="A10" s="3" t="str">
        <f>PRODUCTOS!A10</f>
        <v>P05</v>
      </c>
      <c r="B10" s="3" t="n">
        <f>PRODUCTOS!B10</f>
        <v>0</v>
      </c>
      <c r="C10" s="49" t="n">
        <f>PRODUCTOS!K10</f>
        <v>0</v>
      </c>
      <c r="D10" s="50" t="n">
        <f>PRODUCTOS!C10</f>
        <v>0</v>
      </c>
      <c r="E10" s="49" t="n">
        <f>PRODUCTOS!L10</f>
        <v>0</v>
      </c>
      <c r="F10" s="49" t="n">
        <f>PRODUCTOS!G10</f>
        <v>0</v>
      </c>
      <c r="G10" s="49">
        <f t="shared" si="1"/>
        <v>0</v>
      </c>
      <c r="H10" s="51">
        <f t="shared" si="2"/>
        <v>0</v>
      </c>
      <c r="I10" s="49" t="n">
        <f>PRODUCTOS!M10</f>
        <v>0</v>
      </c>
      <c r="J10" s="49">
        <f t="shared" si="3"/>
        <v>0</v>
      </c>
      <c r="K10" s="3" t="str">
        <f t="shared" si="4"/>
      </c>
      <c r="L10" s="51">
        <f t="shared" si="5"/>
        <v>0</v>
      </c>
      <c r="M10" s="49" t="n">
        <f>PRODUCTOS!O10</f>
        <v>0</v>
      </c>
    </row>
    <row r="11">
      <c r="A11" s="3" t="str">
        <f>PRODUCTOS!A11</f>
        <v>P06</v>
      </c>
      <c r="B11" s="3" t="n">
        <f>PRODUCTOS!B11</f>
        <v>0</v>
      </c>
      <c r="C11" s="49" t="n">
        <f>PRODUCTOS!K11</f>
        <v>0</v>
      </c>
      <c r="D11" s="50" t="n">
        <f>PRODUCTOS!C11</f>
        <v>0</v>
      </c>
      <c r="E11" s="49" t="n">
        <f>PRODUCTOS!L11</f>
        <v>0</v>
      </c>
      <c r="F11" s="49" t="n">
        <f>PRODUCTOS!G11</f>
        <v>0</v>
      </c>
      <c r="G11" s="49">
        <f t="shared" si="1"/>
        <v>0</v>
      </c>
      <c r="H11" s="51">
        <f t="shared" si="2"/>
        <v>0</v>
      </c>
      <c r="I11" s="49" t="n">
        <f>PRODUCTOS!M11</f>
        <v>0</v>
      </c>
      <c r="J11" s="49">
        <f t="shared" si="3"/>
        <v>0</v>
      </c>
      <c r="K11" s="3" t="str">
        <f t="shared" si="4"/>
      </c>
      <c r="L11" s="51">
        <f t="shared" si="5"/>
        <v>0</v>
      </c>
      <c r="M11" s="49" t="n">
        <f>PRODUCTOS!O11</f>
        <v>0</v>
      </c>
    </row>
    <row r="12">
      <c r="A12" s="3" t="str">
        <f>PRODUCTOS!A12</f>
        <v>P07</v>
      </c>
      <c r="B12" s="3" t="n">
        <f>PRODUCTOS!B12</f>
        <v>0</v>
      </c>
      <c r="C12" s="49" t="n">
        <f>PRODUCTOS!K12</f>
        <v>0</v>
      </c>
      <c r="D12" s="50" t="n">
        <f>PRODUCTOS!C12</f>
        <v>0</v>
      </c>
      <c r="E12" s="49" t="n">
        <f>PRODUCTOS!L12</f>
        <v>0</v>
      </c>
      <c r="F12" s="49" t="n">
        <f>PRODUCTOS!G12</f>
        <v>0</v>
      </c>
      <c r="G12" s="49">
        <f t="shared" si="1"/>
        <v>0</v>
      </c>
      <c r="H12" s="51">
        <f t="shared" si="2"/>
        <v>0</v>
      </c>
      <c r="I12" s="49" t="n">
        <f>PRODUCTOS!M12</f>
        <v>0</v>
      </c>
      <c r="J12" s="49">
        <f t="shared" si="3"/>
        <v>0</v>
      </c>
      <c r="K12" s="3" t="str">
        <f t="shared" si="4"/>
      </c>
      <c r="L12" s="51">
        <f t="shared" si="5"/>
        <v>0</v>
      </c>
      <c r="M12" s="49" t="n">
        <f>PRODUCTOS!O12</f>
        <v>0</v>
      </c>
    </row>
    <row r="13">
      <c r="A13" s="3" t="str">
        <f>PRODUCTOS!A13</f>
        <v>P08</v>
      </c>
      <c r="B13" s="3" t="n">
        <f>PRODUCTOS!B13</f>
        <v>0</v>
      </c>
      <c r="C13" s="49" t="n">
        <f>PRODUCTOS!K13</f>
        <v>0</v>
      </c>
      <c r="D13" s="50" t="n">
        <f>PRODUCTOS!C13</f>
        <v>0</v>
      </c>
      <c r="E13" s="49" t="n">
        <f>PRODUCTOS!L13</f>
        <v>0</v>
      </c>
      <c r="F13" s="49" t="n">
        <f>PRODUCTOS!G13</f>
        <v>0</v>
      </c>
      <c r="G13" s="49">
        <f t="shared" si="1"/>
        <v>0</v>
      </c>
      <c r="H13" s="51">
        <f t="shared" si="2"/>
        <v>0</v>
      </c>
      <c r="I13" s="49" t="n">
        <f>PRODUCTOS!M13</f>
        <v>0</v>
      </c>
      <c r="J13" s="49">
        <f t="shared" si="3"/>
        <v>0</v>
      </c>
      <c r="K13" s="3" t="str">
        <f t="shared" si="4"/>
      </c>
      <c r="L13" s="51">
        <f t="shared" si="5"/>
        <v>0</v>
      </c>
      <c r="M13" s="49" t="n">
        <f>PRODUCTOS!O13</f>
        <v>0</v>
      </c>
    </row>
    <row r="14">
      <c r="A14" s="3" t="str">
        <f>PRODUCTOS!A14</f>
        <v>P09</v>
      </c>
      <c r="B14" s="3" t="n">
        <f>PRODUCTOS!B14</f>
        <v>0</v>
      </c>
      <c r="C14" s="49" t="n">
        <f>PRODUCTOS!K14</f>
        <v>0</v>
      </c>
      <c r="D14" s="50" t="n">
        <f>PRODUCTOS!C14</f>
        <v>0</v>
      </c>
      <c r="E14" s="49" t="n">
        <f>PRODUCTOS!L14</f>
        <v>0</v>
      </c>
      <c r="F14" s="49" t="n">
        <f>PRODUCTOS!G14</f>
        <v>0</v>
      </c>
      <c r="G14" s="49">
        <f t="shared" si="1"/>
        <v>0</v>
      </c>
      <c r="H14" s="51">
        <f t="shared" si="2"/>
        <v>0</v>
      </c>
      <c r="I14" s="49" t="n">
        <f>PRODUCTOS!M14</f>
        <v>0</v>
      </c>
      <c r="J14" s="49">
        <f t="shared" si="3"/>
        <v>0</v>
      </c>
      <c r="K14" s="3" t="str">
        <f t="shared" si="4"/>
      </c>
      <c r="L14" s="51">
        <f t="shared" si="5"/>
        <v>0</v>
      </c>
      <c r="M14" s="49" t="n">
        <f>PRODUCTOS!O14</f>
        <v>0</v>
      </c>
    </row>
    <row r="15">
      <c r="A15" s="3" t="str">
        <f>PRODUCTOS!A15</f>
        <v>P10</v>
      </c>
      <c r="B15" s="3" t="n">
        <f>PRODUCTOS!B15</f>
        <v>0</v>
      </c>
      <c r="C15" s="49" t="n">
        <f>PRODUCTOS!K15</f>
        <v>0</v>
      </c>
      <c r="D15" s="50" t="n">
        <f>PRODUCTOS!C15</f>
        <v>0</v>
      </c>
      <c r="E15" s="49" t="n">
        <f>PRODUCTOS!L15</f>
        <v>0</v>
      </c>
      <c r="F15" s="49" t="n">
        <f>PRODUCTOS!G15</f>
        <v>0</v>
      </c>
      <c r="G15" s="49">
        <f t="shared" si="1"/>
        <v>0</v>
      </c>
      <c r="H15" s="51">
        <f t="shared" si="2"/>
        <v>0</v>
      </c>
      <c r="I15" s="49" t="n">
        <f>PRODUCTOS!M15</f>
        <v>0</v>
      </c>
      <c r="J15" s="49">
        <f t="shared" si="3"/>
        <v>0</v>
      </c>
      <c r="K15" s="3" t="str">
        <f t="shared" si="4"/>
      </c>
      <c r="L15" s="51">
        <f t="shared" si="5"/>
        <v>0</v>
      </c>
      <c r="M15" s="49" t="n">
        <f>PRODUCTOS!O15</f>
        <v>0</v>
      </c>
    </row>
    <row r="16">
      <c r="A16" s="3" t="str">
        <f>PRODUCTOS!A16</f>
        <v>P11</v>
      </c>
      <c r="B16" s="3" t="n">
        <f>PRODUCTOS!B16</f>
        <v>0</v>
      </c>
      <c r="C16" s="49" t="n">
        <f>PRODUCTOS!K16</f>
        <v>0</v>
      </c>
      <c r="D16" s="50" t="n">
        <f>PRODUCTOS!C16</f>
        <v>0</v>
      </c>
      <c r="E16" s="49" t="n">
        <f>PRODUCTOS!L16</f>
        <v>0</v>
      </c>
      <c r="F16" s="49" t="n">
        <f>PRODUCTOS!G16</f>
        <v>0</v>
      </c>
      <c r="G16" s="49">
        <f t="shared" si="1"/>
        <v>0</v>
      </c>
      <c r="H16" s="51">
        <f t="shared" si="2"/>
        <v>0</v>
      </c>
      <c r="I16" s="49" t="n">
        <f>PRODUCTOS!M16</f>
        <v>0</v>
      </c>
      <c r="J16" s="49">
        <f t="shared" si="3"/>
        <v>0</v>
      </c>
      <c r="K16" s="3" t="str">
        <f t="shared" si="4"/>
      </c>
      <c r="L16" s="51">
        <f t="shared" si="5"/>
        <v>0</v>
      </c>
      <c r="M16" s="49" t="n">
        <f>PRODUCTOS!O16</f>
        <v>0</v>
      </c>
    </row>
    <row r="17">
      <c r="A17" s="3" t="str">
        <f>PRODUCTOS!A17</f>
        <v>P12</v>
      </c>
      <c r="B17" s="3" t="n">
        <f>PRODUCTOS!B17</f>
        <v>0</v>
      </c>
      <c r="C17" s="49" t="n">
        <f>PRODUCTOS!K17</f>
        <v>0</v>
      </c>
      <c r="D17" s="50" t="n">
        <f>PRODUCTOS!C17</f>
        <v>0</v>
      </c>
      <c r="E17" s="49" t="n">
        <f>PRODUCTOS!L17</f>
        <v>0</v>
      </c>
      <c r="F17" s="49" t="n">
        <f>PRODUCTOS!G17</f>
        <v>0</v>
      </c>
      <c r="G17" s="49">
        <f t="shared" si="1"/>
        <v>0</v>
      </c>
      <c r="H17" s="51">
        <f t="shared" si="2"/>
        <v>0</v>
      </c>
      <c r="I17" s="49" t="n">
        <f>PRODUCTOS!M17</f>
        <v>0</v>
      </c>
      <c r="J17" s="49">
        <f t="shared" si="3"/>
        <v>0</v>
      </c>
      <c r="K17" s="3" t="str">
        <f t="shared" si="4"/>
      </c>
      <c r="L17" s="51">
        <f t="shared" si="5"/>
        <v>0</v>
      </c>
      <c r="M17" s="49" t="n">
        <f>PRODUCTOS!O17</f>
        <v>0</v>
      </c>
    </row>
    <row r="18">
      <c r="A18" s="3" t="str">
        <f>PRODUCTOS!A18</f>
        <v>P13</v>
      </c>
      <c r="B18" s="3" t="n">
        <f>PRODUCTOS!B18</f>
        <v>0</v>
      </c>
      <c r="C18" s="49" t="n">
        <f>PRODUCTOS!K18</f>
        <v>0</v>
      </c>
      <c r="D18" s="50" t="n">
        <f>PRODUCTOS!C18</f>
        <v>0</v>
      </c>
      <c r="E18" s="49" t="n">
        <f>PRODUCTOS!L18</f>
        <v>0</v>
      </c>
      <c r="F18" s="49" t="n">
        <f>PRODUCTOS!G18</f>
        <v>0</v>
      </c>
      <c r="G18" s="49">
        <f t="shared" si="1"/>
        <v>0</v>
      </c>
      <c r="H18" s="51">
        <f t="shared" si="2"/>
        <v>0</v>
      </c>
      <c r="I18" s="49" t="n">
        <f>PRODUCTOS!M18</f>
        <v>0</v>
      </c>
      <c r="J18" s="49">
        <f t="shared" si="3"/>
        <v>0</v>
      </c>
      <c r="K18" s="3" t="str">
        <f t="shared" si="4"/>
      </c>
      <c r="L18" s="51">
        <f t="shared" si="5"/>
        <v>0</v>
      </c>
      <c r="M18" s="49" t="n">
        <f>PRODUCTOS!O18</f>
        <v>0</v>
      </c>
    </row>
    <row r="19">
      <c r="A19" s="3" t="str">
        <f>PRODUCTOS!A19</f>
        <v>P14</v>
      </c>
      <c r="B19" s="3" t="n">
        <f>PRODUCTOS!B19</f>
        <v>0</v>
      </c>
      <c r="C19" s="49" t="n">
        <f>PRODUCTOS!K19</f>
        <v>0</v>
      </c>
      <c r="D19" s="50" t="n">
        <f>PRODUCTOS!C19</f>
        <v>0</v>
      </c>
      <c r="E19" s="49" t="n">
        <f>PRODUCTOS!L19</f>
        <v>0</v>
      </c>
      <c r="F19" s="49" t="n">
        <f>PRODUCTOS!G19</f>
        <v>0</v>
      </c>
      <c r="G19" s="49">
        <f t="shared" si="1"/>
        <v>0</v>
      </c>
      <c r="H19" s="51">
        <f t="shared" si="2"/>
        <v>0</v>
      </c>
      <c r="I19" s="49" t="n">
        <f>PRODUCTOS!M19</f>
        <v>0</v>
      </c>
      <c r="J19" s="49">
        <f t="shared" si="3"/>
        <v>0</v>
      </c>
      <c r="K19" s="3" t="str">
        <f t="shared" si="4"/>
      </c>
      <c r="L19" s="51">
        <f t="shared" si="5"/>
        <v>0</v>
      </c>
      <c r="M19" s="49" t="n">
        <f>PRODUCTOS!O19</f>
        <v>0</v>
      </c>
    </row>
    <row r="20">
      <c r="A20" s="3" t="str">
        <f>PRODUCTOS!A20</f>
        <v>P15</v>
      </c>
      <c r="B20" s="3" t="n">
        <f>PRODUCTOS!B20</f>
        <v>0</v>
      </c>
      <c r="C20" s="49" t="n">
        <f>PRODUCTOS!K20</f>
        <v>0</v>
      </c>
      <c r="D20" s="50" t="n">
        <f>PRODUCTOS!C20</f>
        <v>0</v>
      </c>
      <c r="E20" s="49" t="n">
        <f>PRODUCTOS!L20</f>
        <v>0</v>
      </c>
      <c r="F20" s="49" t="n">
        <f>PRODUCTOS!G20</f>
        <v>0</v>
      </c>
      <c r="G20" s="49">
        <f t="shared" si="1"/>
        <v>0</v>
      </c>
      <c r="H20" s="51">
        <f t="shared" si="2"/>
        <v>0</v>
      </c>
      <c r="I20" s="49" t="n">
        <f>PRODUCTOS!M20</f>
        <v>0</v>
      </c>
      <c r="J20" s="49">
        <f t="shared" si="3"/>
        <v>0</v>
      </c>
      <c r="K20" s="3" t="str">
        <f t="shared" si="4"/>
      </c>
      <c r="L20" s="51">
        <f t="shared" si="5"/>
        <v>0</v>
      </c>
      <c r="M20" s="49" t="n">
        <f>PRODUCTOS!O20</f>
        <v>0</v>
      </c>
    </row>
    <row r="21" ht="15.75" customHeight="1">
      <c r="A21" s="3" t="str">
        <f>PRODUCTOS!A21</f>
        <v>P16</v>
      </c>
      <c r="B21" s="3" t="n">
        <f>PRODUCTOS!B21</f>
        <v>0</v>
      </c>
      <c r="C21" s="49" t="n">
        <f>PRODUCTOS!K21</f>
        <v>0</v>
      </c>
      <c r="D21" s="50" t="n">
        <f>PRODUCTOS!C21</f>
        <v>0</v>
      </c>
      <c r="E21" s="49" t="n">
        <f>PRODUCTOS!L21</f>
        <v>0</v>
      </c>
      <c r="F21" s="49" t="n">
        <f>PRODUCTOS!G21</f>
        <v>0</v>
      </c>
      <c r="G21" s="49">
        <f t="shared" si="1"/>
        <v>0</v>
      </c>
      <c r="H21" s="51">
        <f t="shared" si="2"/>
        <v>0</v>
      </c>
      <c r="I21" s="49" t="n">
        <f>PRODUCTOS!M21</f>
        <v>0</v>
      </c>
      <c r="J21" s="49">
        <f t="shared" si="3"/>
        <v>0</v>
      </c>
      <c r="K21" s="3" t="str">
        <f t="shared" si="4"/>
      </c>
      <c r="L21" s="51">
        <f t="shared" si="5"/>
        <v>0</v>
      </c>
      <c r="M21" s="49" t="n">
        <f>PRODUCTOS!O21</f>
        <v>0</v>
      </c>
    </row>
    <row r="22" ht="15.75" customHeight="1">
      <c r="A22" s="3" t="str">
        <f>PRODUCTOS!A22</f>
        <v>P17</v>
      </c>
      <c r="B22" s="3" t="n">
        <f>PRODUCTOS!B22</f>
        <v>0</v>
      </c>
      <c r="C22" s="49" t="n">
        <f>PRODUCTOS!K22</f>
        <v>0</v>
      </c>
      <c r="D22" s="50" t="n">
        <f>PRODUCTOS!C22</f>
        <v>0</v>
      </c>
      <c r="E22" s="49" t="n">
        <f>PRODUCTOS!L22</f>
        <v>0</v>
      </c>
      <c r="F22" s="49" t="n">
        <f>PRODUCTOS!G22</f>
        <v>0</v>
      </c>
      <c r="G22" s="49">
        <f t="shared" si="1"/>
        <v>0</v>
      </c>
      <c r="H22" s="51">
        <f t="shared" si="2"/>
        <v>0</v>
      </c>
      <c r="I22" s="49" t="n">
        <f>PRODUCTOS!M22</f>
        <v>0</v>
      </c>
      <c r="J22" s="49">
        <f t="shared" si="3"/>
        <v>0</v>
      </c>
      <c r="K22" s="3" t="str">
        <f t="shared" si="4"/>
      </c>
      <c r="L22" s="51">
        <f t="shared" si="5"/>
        <v>0</v>
      </c>
      <c r="M22" s="49" t="n">
        <f>PRODUCTOS!O22</f>
        <v>0</v>
      </c>
    </row>
    <row r="23" ht="15.75" customHeight="1">
      <c r="A23" s="3" t="str">
        <f>PRODUCTOS!A23</f>
        <v>P18</v>
      </c>
      <c r="B23" s="3" t="n">
        <f>PRODUCTOS!B23</f>
        <v>0</v>
      </c>
      <c r="C23" s="49" t="n">
        <f>PRODUCTOS!K23</f>
        <v>0</v>
      </c>
      <c r="D23" s="50" t="n">
        <f>PRODUCTOS!C23</f>
        <v>0</v>
      </c>
      <c r="E23" s="49" t="n">
        <f>PRODUCTOS!L23</f>
        <v>0</v>
      </c>
      <c r="F23" s="49" t="n">
        <f>PRODUCTOS!G23</f>
        <v>0</v>
      </c>
      <c r="G23" s="49">
        <f t="shared" si="1"/>
        <v>0</v>
      </c>
      <c r="H23" s="51">
        <f t="shared" si="2"/>
        <v>0</v>
      </c>
      <c r="I23" s="49" t="n">
        <f>PRODUCTOS!M23</f>
        <v>0</v>
      </c>
      <c r="J23" s="49">
        <f t="shared" si="3"/>
        <v>0</v>
      </c>
      <c r="K23" s="3" t="str">
        <f t="shared" si="4"/>
      </c>
      <c r="L23" s="51">
        <f t="shared" si="5"/>
        <v>0</v>
      </c>
      <c r="M23" s="49" t="n">
        <f>PRODUCTOS!O23</f>
        <v>0</v>
      </c>
    </row>
    <row r="24" ht="15.75" customHeight="1">
      <c r="A24" s="3" t="str">
        <f>PRODUCTOS!A24</f>
        <v>P19</v>
      </c>
      <c r="B24" s="3" t="n">
        <f>PRODUCTOS!B24</f>
        <v>0</v>
      </c>
      <c r="C24" s="49" t="n">
        <f>PRODUCTOS!K24</f>
        <v>0</v>
      </c>
      <c r="D24" s="50" t="n">
        <f>PRODUCTOS!C24</f>
        <v>0</v>
      </c>
      <c r="E24" s="49" t="n">
        <f>PRODUCTOS!L24</f>
        <v>0</v>
      </c>
      <c r="F24" s="49" t="n">
        <f>PRODUCTOS!G24</f>
        <v>0</v>
      </c>
      <c r="G24" s="49">
        <f t="shared" si="1"/>
        <v>0</v>
      </c>
      <c r="H24" s="51">
        <f t="shared" si="2"/>
        <v>0</v>
      </c>
      <c r="I24" s="49" t="n">
        <f>PRODUCTOS!M24</f>
        <v>0</v>
      </c>
      <c r="J24" s="49">
        <f t="shared" si="3"/>
        <v>0</v>
      </c>
      <c r="K24" s="3" t="str">
        <f t="shared" si="4"/>
      </c>
      <c r="L24" s="51">
        <f t="shared" si="5"/>
        <v>0</v>
      </c>
      <c r="M24" s="49" t="n">
        <f>PRODUCTOS!O24</f>
        <v>0</v>
      </c>
    </row>
    <row r="25" ht="15.75" customHeight="1">
      <c r="A25" s="3" t="str">
        <f>PRODUCTOS!A25</f>
        <v>P20</v>
      </c>
      <c r="B25" s="3" t="n">
        <f>PRODUCTOS!B25</f>
        <v>0</v>
      </c>
      <c r="C25" s="49" t="n">
        <f>PRODUCTOS!K25</f>
        <v>0</v>
      </c>
      <c r="D25" s="50" t="n">
        <f>PRODUCTOS!C25</f>
        <v>0</v>
      </c>
      <c r="E25" s="49" t="n">
        <f>PRODUCTOS!L25</f>
        <v>0</v>
      </c>
      <c r="F25" s="49" t="n">
        <f>PRODUCTOS!G25</f>
        <v>0</v>
      </c>
      <c r="G25" s="49">
        <f t="shared" si="1"/>
        <v>0</v>
      </c>
      <c r="H25" s="51">
        <f t="shared" si="2"/>
        <v>0</v>
      </c>
      <c r="I25" s="49" t="n">
        <f>PRODUCTOS!M25</f>
        <v>0</v>
      </c>
      <c r="J25" s="49">
        <f t="shared" si="3"/>
        <v>0</v>
      </c>
      <c r="K25" s="3" t="str">
        <f t="shared" si="4"/>
      </c>
      <c r="L25" s="51">
        <f t="shared" si="5"/>
        <v>0</v>
      </c>
      <c r="M25" s="49" t="n">
        <f>PRODUCTOS!O25</f>
        <v>0</v>
      </c>
    </row>
    <row r="26" ht="15.75" customHeight="1">
      <c r="A26" s="3" t="str">
        <f>PRODUCTOS!A26</f>
        <v>P21</v>
      </c>
      <c r="B26" s="3" t="n">
        <f>PRODUCTOS!B26</f>
        <v>0</v>
      </c>
      <c r="C26" s="49" t="n">
        <f>PRODUCTOS!K26</f>
        <v>0</v>
      </c>
      <c r="D26" s="50" t="n">
        <f>PRODUCTOS!C26</f>
        <v>0</v>
      </c>
      <c r="E26" s="49" t="n">
        <f>PRODUCTOS!L26</f>
        <v>0</v>
      </c>
      <c r="F26" s="49" t="n">
        <f>PRODUCTOS!G26</f>
        <v>0</v>
      </c>
      <c r="G26" s="49">
        <f t="shared" si="1"/>
        <v>0</v>
      </c>
      <c r="H26" s="51">
        <f t="shared" si="2"/>
        <v>0</v>
      </c>
      <c r="I26" s="49" t="n">
        <f>PRODUCTOS!M26</f>
        <v>0</v>
      </c>
      <c r="J26" s="49">
        <f t="shared" si="3"/>
        <v>0</v>
      </c>
      <c r="K26" s="3" t="str">
        <f t="shared" si="4"/>
      </c>
      <c r="L26" s="51">
        <f t="shared" si="5"/>
        <v>0</v>
      </c>
      <c r="M26" s="49" t="n">
        <f>PRODUCTOS!O26</f>
        <v>0</v>
      </c>
    </row>
    <row r="27" ht="15.75" customHeight="1">
      <c r="A27" s="3" t="str">
        <f>PRODUCTOS!A27</f>
        <v>P22</v>
      </c>
      <c r="B27" s="3" t="n">
        <f>PRODUCTOS!B27</f>
        <v>0</v>
      </c>
      <c r="C27" s="49" t="n">
        <f>PRODUCTOS!K27</f>
        <v>0</v>
      </c>
      <c r="D27" s="50" t="n">
        <f>PRODUCTOS!C27</f>
        <v>0</v>
      </c>
      <c r="E27" s="49" t="n">
        <f>PRODUCTOS!L27</f>
        <v>0</v>
      </c>
      <c r="F27" s="49" t="n">
        <f>PRODUCTOS!G27</f>
        <v>0</v>
      </c>
      <c r="G27" s="49">
        <f t="shared" si="1"/>
        <v>0</v>
      </c>
      <c r="H27" s="51">
        <f t="shared" si="2"/>
        <v>0</v>
      </c>
      <c r="I27" s="49" t="n">
        <f>PRODUCTOS!M27</f>
        <v>0</v>
      </c>
      <c r="J27" s="49">
        <f t="shared" si="3"/>
        <v>0</v>
      </c>
      <c r="K27" s="3" t="str">
        <f t="shared" si="4"/>
      </c>
      <c r="L27" s="51">
        <f t="shared" si="5"/>
        <v>0</v>
      </c>
      <c r="M27" s="49" t="n">
        <f>PRODUCTOS!O27</f>
        <v>0</v>
      </c>
    </row>
    <row r="28" ht="15.75" customHeight="1">
      <c r="A28" s="3" t="str">
        <f>PRODUCTOS!A28</f>
        <v>P23</v>
      </c>
      <c r="B28" s="3" t="n">
        <f>PRODUCTOS!B28</f>
        <v>0</v>
      </c>
      <c r="C28" s="49" t="n">
        <f>PRODUCTOS!K28</f>
        <v>0</v>
      </c>
      <c r="D28" s="50" t="n">
        <f>PRODUCTOS!C28</f>
        <v>0</v>
      </c>
      <c r="E28" s="49" t="n">
        <f>PRODUCTOS!L28</f>
        <v>0</v>
      </c>
      <c r="F28" s="49" t="n">
        <f>PRODUCTOS!G28</f>
        <v>0</v>
      </c>
      <c r="G28" s="49">
        <f t="shared" si="1"/>
        <v>0</v>
      </c>
      <c r="H28" s="51">
        <f t="shared" si="2"/>
        <v>0</v>
      </c>
      <c r="I28" s="49" t="n">
        <f>PRODUCTOS!M28</f>
        <v>0</v>
      </c>
      <c r="J28" s="49">
        <f t="shared" si="3"/>
        <v>0</v>
      </c>
      <c r="K28" s="3" t="str">
        <f t="shared" si="4"/>
      </c>
      <c r="L28" s="51">
        <f t="shared" si="5"/>
        <v>0</v>
      </c>
      <c r="M28" s="49" t="n">
        <f>PRODUCTOS!O28</f>
        <v>0</v>
      </c>
    </row>
    <row r="29" ht="15.75" customHeight="1">
      <c r="A29" s="3" t="str">
        <f>PRODUCTOS!A29</f>
        <v>P24</v>
      </c>
      <c r="B29" s="3" t="n">
        <f>PRODUCTOS!B29</f>
        <v>0</v>
      </c>
      <c r="C29" s="49" t="n">
        <f>PRODUCTOS!K29</f>
        <v>0</v>
      </c>
      <c r="D29" s="50" t="n">
        <f>PRODUCTOS!C29</f>
        <v>0</v>
      </c>
      <c r="E29" s="49" t="n">
        <f>PRODUCTOS!L29</f>
        <v>0</v>
      </c>
      <c r="F29" s="49" t="n">
        <f>PRODUCTOS!G29</f>
        <v>0</v>
      </c>
      <c r="G29" s="49">
        <f t="shared" si="1"/>
        <v>0</v>
      </c>
      <c r="H29" s="51">
        <f t="shared" si="2"/>
        <v>0</v>
      </c>
      <c r="I29" s="49" t="n">
        <f>PRODUCTOS!M29</f>
        <v>0</v>
      </c>
      <c r="J29" s="49">
        <f t="shared" si="3"/>
        <v>0</v>
      </c>
      <c r="K29" s="3" t="str">
        <f t="shared" si="4"/>
      </c>
      <c r="L29" s="51">
        <f t="shared" si="5"/>
        <v>0</v>
      </c>
      <c r="M29" s="49" t="n">
        <f>PRODUCTOS!O29</f>
        <v>0</v>
      </c>
    </row>
    <row r="30" ht="15.75" customHeight="1">
      <c r="A30" s="3" t="str">
        <f>PRODUCTOS!A30</f>
        <v>P25</v>
      </c>
      <c r="B30" s="3" t="n">
        <f>PRODUCTOS!B30</f>
        <v>0</v>
      </c>
      <c r="C30" s="49" t="n">
        <f>PRODUCTOS!K30</f>
        <v>0</v>
      </c>
      <c r="D30" s="50" t="n">
        <f>PRODUCTOS!C30</f>
        <v>0</v>
      </c>
      <c r="E30" s="49" t="n">
        <f>PRODUCTOS!L30</f>
        <v>0</v>
      </c>
      <c r="F30" s="49" t="n">
        <f>PRODUCTOS!G30</f>
        <v>0</v>
      </c>
      <c r="G30" s="49">
        <f t="shared" si="1"/>
        <v>0</v>
      </c>
      <c r="H30" s="51">
        <f t="shared" si="2"/>
        <v>0</v>
      </c>
      <c r="I30" s="49" t="n">
        <f>PRODUCTOS!M30</f>
        <v>0</v>
      </c>
      <c r="J30" s="49">
        <f t="shared" si="3"/>
        <v>0</v>
      </c>
      <c r="K30" s="3" t="str">
        <f t="shared" si="4"/>
      </c>
      <c r="L30" s="51">
        <f t="shared" si="5"/>
        <v>0</v>
      </c>
      <c r="M30" s="49" t="n">
        <f>PRODUCTOS!O30</f>
        <v>0</v>
      </c>
    </row>
    <row r="31" ht="15.75" customHeight="1">
      <c r="A31" s="3" t="str">
        <f>PRODUCTOS!A31</f>
        <v>P26</v>
      </c>
      <c r="B31" s="3" t="n">
        <f>PRODUCTOS!B31</f>
        <v>0</v>
      </c>
      <c r="C31" s="49" t="n">
        <f>PRODUCTOS!K31</f>
        <v>0</v>
      </c>
      <c r="D31" s="50" t="n">
        <f>PRODUCTOS!C31</f>
        <v>0</v>
      </c>
      <c r="E31" s="49" t="n">
        <f>PRODUCTOS!L31</f>
        <v>0</v>
      </c>
      <c r="F31" s="49" t="n">
        <f>PRODUCTOS!G31</f>
        <v>0</v>
      </c>
      <c r="G31" s="49">
        <f t="shared" si="1"/>
        <v>0</v>
      </c>
      <c r="H31" s="51">
        <f t="shared" si="2"/>
        <v>0</v>
      </c>
      <c r="I31" s="49" t="n">
        <f>PRODUCTOS!M31</f>
        <v>0</v>
      </c>
      <c r="J31" s="49">
        <f t="shared" si="3"/>
        <v>0</v>
      </c>
      <c r="K31" s="3" t="str">
        <f t="shared" si="4"/>
      </c>
      <c r="L31" s="51">
        <f t="shared" si="5"/>
        <v>0</v>
      </c>
      <c r="M31" s="49" t="n">
        <f>PRODUCTOS!O31</f>
        <v>0</v>
      </c>
    </row>
    <row r="32" ht="15.75" customHeight="1">
      <c r="A32" s="3" t="str">
        <f>PRODUCTOS!A32</f>
        <v>P27</v>
      </c>
      <c r="B32" s="3" t="n">
        <f>PRODUCTOS!B32</f>
        <v>0</v>
      </c>
      <c r="C32" s="49" t="n">
        <f>PRODUCTOS!K32</f>
        <v>0</v>
      </c>
      <c r="D32" s="50" t="n">
        <f>PRODUCTOS!C32</f>
        <v>0</v>
      </c>
      <c r="E32" s="49" t="n">
        <f>PRODUCTOS!L32</f>
        <v>0</v>
      </c>
      <c r="F32" s="49" t="n">
        <f>PRODUCTOS!G32</f>
        <v>0</v>
      </c>
      <c r="G32" s="49">
        <f t="shared" si="1"/>
        <v>0</v>
      </c>
      <c r="H32" s="51">
        <f t="shared" si="2"/>
        <v>0</v>
      </c>
      <c r="I32" s="49" t="n">
        <f>PRODUCTOS!M32</f>
        <v>0</v>
      </c>
      <c r="J32" s="49">
        <f t="shared" si="3"/>
        <v>0</v>
      </c>
      <c r="K32" s="3" t="str">
        <f t="shared" si="4"/>
      </c>
      <c r="L32" s="51">
        <f t="shared" si="5"/>
        <v>0</v>
      </c>
      <c r="M32" s="49" t="n">
        <f>PRODUCTOS!O32</f>
        <v>0</v>
      </c>
    </row>
    <row r="33" ht="15.75" customHeight="1">
      <c r="A33" s="3" t="str">
        <f>PRODUCTOS!A33</f>
        <v>P28</v>
      </c>
      <c r="B33" s="3" t="n">
        <f>PRODUCTOS!B33</f>
        <v>0</v>
      </c>
      <c r="C33" s="49" t="n">
        <f>PRODUCTOS!K33</f>
        <v>0</v>
      </c>
      <c r="D33" s="50" t="n">
        <f>PRODUCTOS!C33</f>
        <v>0</v>
      </c>
      <c r="E33" s="49" t="n">
        <f>PRODUCTOS!L33</f>
        <v>0</v>
      </c>
      <c r="F33" s="49" t="n">
        <f>PRODUCTOS!G33</f>
        <v>0</v>
      </c>
      <c r="G33" s="49">
        <f t="shared" si="1"/>
        <v>0</v>
      </c>
      <c r="H33" s="51">
        <f t="shared" si="2"/>
        <v>0</v>
      </c>
      <c r="I33" s="49" t="n">
        <f>PRODUCTOS!M33</f>
        <v>0</v>
      </c>
      <c r="J33" s="49">
        <f t="shared" si="3"/>
        <v>0</v>
      </c>
      <c r="K33" s="3" t="str">
        <f t="shared" si="4"/>
      </c>
      <c r="L33" s="51">
        <f t="shared" si="5"/>
        <v>0</v>
      </c>
      <c r="M33" s="49" t="n">
        <f>PRODUCTOS!O33</f>
        <v>0</v>
      </c>
    </row>
    <row r="34" ht="15.75" customHeight="1">
      <c r="A34" s="3" t="str">
        <f>PRODUCTOS!A34</f>
        <v>P29</v>
      </c>
      <c r="B34" s="3" t="n">
        <f>PRODUCTOS!B34</f>
        <v>0</v>
      </c>
      <c r="C34" s="49" t="n">
        <f>PRODUCTOS!K34</f>
        <v>0</v>
      </c>
      <c r="D34" s="50" t="n">
        <f>PRODUCTOS!C34</f>
        <v>0</v>
      </c>
      <c r="E34" s="49" t="n">
        <f>PRODUCTOS!L34</f>
        <v>0</v>
      </c>
      <c r="F34" s="49" t="n">
        <f>PRODUCTOS!G34</f>
        <v>0</v>
      </c>
      <c r="G34" s="49">
        <f t="shared" si="1"/>
        <v>0</v>
      </c>
      <c r="H34" s="51">
        <f t="shared" si="2"/>
        <v>0</v>
      </c>
      <c r="I34" s="49" t="n">
        <f>PRODUCTOS!M34</f>
        <v>0</v>
      </c>
      <c r="J34" s="49">
        <f t="shared" si="3"/>
        <v>0</v>
      </c>
      <c r="K34" s="3" t="str">
        <f t="shared" si="4"/>
      </c>
      <c r="L34" s="51">
        <f t="shared" si="5"/>
        <v>0</v>
      </c>
      <c r="M34" s="49" t="n">
        <f>PRODUCTOS!O34</f>
        <v>0</v>
      </c>
    </row>
    <row r="35" ht="15.75" customHeight="1">
      <c r="A35" s="3" t="str">
        <f>PRODUCTOS!A35</f>
        <v>P30</v>
      </c>
      <c r="B35" s="3" t="n">
        <f>PRODUCTOS!B35</f>
        <v>0</v>
      </c>
      <c r="C35" s="49" t="n">
        <f>PRODUCTOS!K35</f>
        <v>0</v>
      </c>
      <c r="D35" s="50" t="n">
        <f>PRODUCTOS!C35</f>
        <v>0</v>
      </c>
      <c r="E35" s="49" t="n">
        <f>PRODUCTOS!L35</f>
        <v>0</v>
      </c>
      <c r="F35" s="49" t="n">
        <f>PRODUCTOS!G35</f>
        <v>0</v>
      </c>
      <c r="G35" s="49">
        <f t="shared" si="1"/>
        <v>0</v>
      </c>
      <c r="H35" s="51">
        <f t="shared" si="2"/>
        <v>0</v>
      </c>
      <c r="I35" s="49" t="n">
        <f>PRODUCTOS!M35</f>
        <v>0</v>
      </c>
      <c r="J35" s="49">
        <f t="shared" si="3"/>
        <v>0</v>
      </c>
      <c r="K35" s="3" t="str">
        <f t="shared" si="4"/>
      </c>
      <c r="L35" s="51">
        <f t="shared" si="5"/>
        <v>0</v>
      </c>
      <c r="M35" s="49" t="n">
        <f>PRODUCTOS!O35</f>
        <v>0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</row>
  </sheetData>
  <sheetProtection sheet="1" objects="1" scenarios="1" selectLockedCells="1" selectUnlockedCells="0"/>
  <mergeCells>
    <mergeCell ref="A1:K2"/>
    <mergeCell ref="A3:K3"/>
  </mergeCells>
  <conditionalFormatting sqref="K6:K35">
    <cfRule type="expression" dxfId="0" priority="1">
      <formula>K6="OK"</formula>
    </cfRule>
  </conditionalFormatting>
  <conditionalFormatting sqref="K6:K35">
    <cfRule type="expression" dxfId="1" priority="2">
      <formula>LEFT(K6,7)="Revisar"</formula>
    </cfRule>
  </conditionalFormatting>
  <conditionalFormatting sqref="K6:K35">
    <cfRule type="expression" dxfId="2" priority="3">
      <formula>K6="Por debajo del sugerido"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ColWidth="12.630000114440918" defaultRowHeight="15"/>
  <cols>
    <col min="1" max="1" width="25.75" customWidth="1"/>
    <col min="2" max="4" width="18" customWidth="1"/>
    <col min="5" max="5" width="15" customWidth="1"/>
    <col min="6" max="6" width="14" customWidth="1"/>
    <col min="7" max="8" width="18" customWidth="1"/>
    <col min="9" max="9" width="8.630000114440918" customWidth="1"/>
    <col min="10" max="10" width="2" hidden="1" customWidth="1"/>
    <col min="11" max="26" width="8.630000114440918" customWidth="1"/>
  </cols>
  <sheetData>
    <row r="1">
      <c r="A1" s="42" t="s">
        <v>210</v>
      </c>
      <c r="I1" s="3"/>
      <c r="J1" s="3" t="s">
        <v>211</v>
      </c>
      <c r="K1" s="3"/>
      <c r="L1" s="3"/>
      <c r="M1" s="3"/>
    </row>
    <row r="2">
      <c r="I2" s="3"/>
      <c r="J2" s="3" t="str">
        <f>PRODUCTOS!B6</f>
        <v>Jabón de Café </v>
      </c>
      <c r="K2" s="3"/>
      <c r="L2" s="3"/>
      <c r="M2" s="3"/>
    </row>
    <row r="3">
      <c r="A3" s="3"/>
      <c r="B3" s="3"/>
      <c r="C3" s="3"/>
      <c r="D3" s="3"/>
      <c r="E3" s="3"/>
      <c r="F3" s="3"/>
      <c r="G3" s="3"/>
      <c r="H3" s="3"/>
      <c r="I3" s="3"/>
      <c r="J3" s="3" t="str">
        <f>PRODUCTOS!B7</f>
        <v>Jabón de Miel y Avena </v>
      </c>
      <c r="K3" s="3"/>
      <c r="L3" s="3"/>
      <c r="M3" s="3"/>
    </row>
    <row r="4">
      <c r="A4" s="8" t="s">
        <v>212</v>
      </c>
      <c r="B4" s="426" t="s">
        <v>139</v>
      </c>
      <c r="C4" s="3"/>
      <c r="D4" s="3"/>
      <c r="E4" s="3"/>
      <c r="F4" s="3"/>
      <c r="G4" s="3"/>
      <c r="H4" s="3"/>
      <c r="I4" s="3"/>
      <c r="J4" s="3" t="str">
        <f>PRODUCTOS!B8</f>
        <v>Jabón de Mentol </v>
      </c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 t="str">
        <f>PRODUCTOS!B9</f>
        <v>Jabón de Almendras</v>
      </c>
      <c r="K5" s="3"/>
      <c r="L5" s="3"/>
      <c r="M5" s="3"/>
    </row>
    <row r="6">
      <c r="A6" s="53" t="s">
        <v>213</v>
      </c>
      <c r="B6" s="53" t="s">
        <v>214</v>
      </c>
      <c r="C6" s="3"/>
      <c r="D6" s="8" t="s">
        <v>215</v>
      </c>
      <c r="I6" s="3"/>
      <c r="J6" s="3" t="n">
        <f>PRODUCTOS!B10</f>
        <v>0</v>
      </c>
      <c r="K6" s="3"/>
      <c r="L6" s="3"/>
      <c r="M6" s="3"/>
    </row>
    <row r="7">
      <c r="A7" s="3" t="s">
        <v>121</v>
      </c>
      <c r="B7" s="54" t="str">
        <f>IFERROR(VLOOKUP(B4,PRODUCTOS!$B$6:$M$35,1,FALSE),"")</f>
        <v>jabón de miel y avena </v>
      </c>
      <c r="C7" s="3"/>
      <c r="D7" s="3" t="s">
        <v>216</v>
      </c>
      <c r="H7" s="24" t="n">
        <f>B13*B14</f>
        <v>526590.278</v>
      </c>
      <c r="I7" s="3"/>
      <c r="J7" s="3" t="n">
        <f>PRODUCTOS!B11</f>
        <v>0</v>
      </c>
      <c r="K7" s="3"/>
      <c r="L7" s="3"/>
      <c r="M7" s="3"/>
    </row>
    <row r="8">
      <c r="A8" s="3" t="s">
        <v>131</v>
      </c>
      <c r="B8" s="24" t="n">
        <f>IFERROR(VLOOKUP(B4,PRODUCTOS!$B$6:$M$35,11,FALSE),0)</f>
        <v>4212.722222</v>
      </c>
      <c r="C8" s="3"/>
      <c r="D8" s="3" t="s">
        <v>217</v>
      </c>
      <c r="H8" s="24" t="n">
        <f>B8*B14</f>
        <v>210636.1111</v>
      </c>
      <c r="I8" s="3"/>
      <c r="J8" s="3" t="n">
        <f>PRODUCTOS!B12</f>
        <v>0</v>
      </c>
      <c r="K8" s="3"/>
      <c r="L8" s="3"/>
      <c r="M8" s="3"/>
    </row>
    <row r="9">
      <c r="A9" s="3" t="s">
        <v>126</v>
      </c>
      <c r="B9" s="24" t="n">
        <f>IFERROR(VLOOKUP(B4,PRODUCTOS!$B$6:$M$35,6,FALSE),0)</f>
        <v>13000</v>
      </c>
      <c r="C9" s="3"/>
      <c r="D9" s="3" t="s">
        <v>218</v>
      </c>
      <c r="H9" s="24" t="n">
        <f>H7-H8</f>
        <v>315954.16690000007</v>
      </c>
      <c r="I9" s="3"/>
      <c r="J9" s="3" t="n">
        <f>PRODUCTOS!B13</f>
        <v>0</v>
      </c>
      <c r="K9" s="3"/>
      <c r="L9" s="3"/>
      <c r="M9" s="3"/>
    </row>
    <row r="10">
      <c r="A10" s="3" t="s">
        <v>206</v>
      </c>
      <c r="B10" s="55" t="n">
        <f>IFERROR((B9-B8)/B9,0)</f>
        <v>0.6759444444615385</v>
      </c>
      <c r="C10" s="3"/>
      <c r="D10" s="3" t="s">
        <v>219</v>
      </c>
      <c r="H10" s="24" t="n">
        <f>B13-B8</f>
        <v>6319.083338</v>
      </c>
      <c r="I10" s="3"/>
      <c r="J10" s="3" t="n">
        <f>PRODUCTOS!B14</f>
        <v>0</v>
      </c>
      <c r="K10" s="3"/>
      <c r="L10" s="3"/>
      <c r="M10" s="3"/>
    </row>
    <row r="11">
      <c r="A11" s="3" t="s">
        <v>127</v>
      </c>
      <c r="B11" s="55" t="n">
        <f>IFERROR(VLOOKUP(B4,PRODUCTOS!$B$6:$M$35,7,FALSE),0)</f>
        <v>0.6</v>
      </c>
      <c r="C11" s="3"/>
      <c r="D11" s="3" t="s">
        <v>220</v>
      </c>
      <c r="H11" s="55" t="n">
        <f>IFERROR(H10/B13,0)</f>
        <v>0.600000000189901</v>
      </c>
      <c r="I11" s="3"/>
      <c r="J11" s="3" t="n">
        <f>PRODUCTOS!B15</f>
        <v>0</v>
      </c>
      <c r="K11" s="3"/>
      <c r="L11" s="3"/>
      <c r="M11" s="3"/>
    </row>
    <row r="12">
      <c r="A12" s="3" t="s">
        <v>132</v>
      </c>
      <c r="B12" s="24" t="n">
        <f>IFERROR(VLOOKUP(B4,PRODUCTOS!$B$6:$M$35,12,FALSE),0)</f>
        <v>10531.80556</v>
      </c>
      <c r="C12" s="3"/>
      <c r="D12" s="3" t="s">
        <v>221</v>
      </c>
      <c r="H12" s="24" t="n">
        <f>B13-B9</f>
        <v>-2468.1944399999993</v>
      </c>
      <c r="I12" s="3"/>
      <c r="J12" s="3" t="n">
        <f>PRODUCTOS!B16</f>
        <v>0</v>
      </c>
      <c r="K12" s="3"/>
      <c r="L12" s="3"/>
      <c r="M12" s="3"/>
    </row>
    <row r="13">
      <c r="A13" s="3" t="s">
        <v>222</v>
      </c>
      <c r="B13" s="412" t="n">
        <f>B12</f>
        <v>10531.80556</v>
      </c>
      <c r="C13" s="3"/>
      <c r="D13" s="3"/>
      <c r="E13" s="3"/>
      <c r="F13" s="3"/>
      <c r="G13" s="3"/>
      <c r="H13" s="3"/>
      <c r="I13" s="3"/>
      <c r="J13" s="3" t="n">
        <f>PRODUCTOS!B17</f>
        <v>0</v>
      </c>
      <c r="K13" s="3"/>
      <c r="L13" s="3"/>
      <c r="M13" s="3"/>
    </row>
    <row r="14">
      <c r="A14" s="3" t="s">
        <v>223</v>
      </c>
      <c r="B14" s="395">
        <v>50.0</v>
      </c>
      <c r="C14" s="3"/>
      <c r="D14" s="3"/>
      <c r="E14" s="3"/>
      <c r="F14" s="3"/>
      <c r="G14" s="3"/>
      <c r="H14" s="3"/>
      <c r="I14" s="3"/>
      <c r="J14" s="3" t="n">
        <f>PRODUCTOS!B18</f>
        <v>0</v>
      </c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 t="n">
        <f>PRODUCTOS!B19</f>
        <v>0</v>
      </c>
      <c r="K15" s="3"/>
      <c r="L15" s="3"/>
      <c r="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 t="n">
        <f>PRODUCTOS!B20</f>
        <v>0</v>
      </c>
      <c r="K16" s="3"/>
      <c r="L16" s="3"/>
      <c r="M16" s="3"/>
    </row>
    <row r="17">
      <c r="A17" s="53" t="s">
        <v>224</v>
      </c>
      <c r="I17" s="3"/>
      <c r="J17" s="3" t="n">
        <f>PRODUCTOS!B21</f>
        <v>0</v>
      </c>
      <c r="K17" s="3"/>
      <c r="L17" s="3"/>
      <c r="M17" s="3"/>
    </row>
    <row r="18">
      <c r="A18" s="19" t="s">
        <v>225</v>
      </c>
      <c r="B18" s="19" t="s">
        <v>226</v>
      </c>
      <c r="C18" s="19" t="s">
        <v>131</v>
      </c>
      <c r="D18" s="19" t="s">
        <v>205</v>
      </c>
      <c r="E18" s="19" t="s">
        <v>227</v>
      </c>
      <c r="F18" s="19" t="s">
        <v>204</v>
      </c>
      <c r="G18" s="19" t="s">
        <v>228</v>
      </c>
      <c r="H18" s="19" t="s">
        <v>229</v>
      </c>
      <c r="I18" s="3"/>
      <c r="J18" s="3" t="n">
        <f>PRODUCTOS!B22</f>
        <v>0</v>
      </c>
      <c r="K18" s="3"/>
      <c r="L18" s="3"/>
      <c r="M18" s="3"/>
    </row>
    <row r="19">
      <c r="A19" s="3" t="s">
        <v>126</v>
      </c>
      <c r="B19" s="49" t="n">
        <f>B9</f>
        <v>13000</v>
      </c>
      <c r="C19" s="49" t="n">
        <f t="shared" ref="C19:C23" si="1">$B$8</f>
        <v>4212.722222</v>
      </c>
      <c r="D19" s="49" t="n">
        <f t="shared" ref="D19:D23" si="2">B19-C19</f>
        <v>8787.277778</v>
      </c>
      <c r="E19" s="51" t="n">
        <f t="shared" ref="E19:E23" si="3">IFERROR(D19/B19,0)</f>
        <v>0.6759444444615385</v>
      </c>
      <c r="F19" s="3" t="n">
        <f t="shared" ref="F19:F23" si="4">$B$14</f>
        <v>50</v>
      </c>
      <c r="G19" s="49" t="n">
        <f t="shared" ref="G19:G23" si="5">B19*F19</f>
        <v>650000</v>
      </c>
      <c r="H19" s="49" t="n">
        <f t="shared" ref="H19:H23" si="6">D19*F19</f>
        <v>439363.88889999996</v>
      </c>
      <c r="I19" s="3"/>
      <c r="J19" s="3" t="n">
        <f>PRODUCTOS!B23</f>
        <v>0</v>
      </c>
      <c r="K19" s="3"/>
      <c r="L19" s="3"/>
      <c r="M19" s="3"/>
    </row>
    <row r="20">
      <c r="A20" s="3" t="s">
        <v>230</v>
      </c>
      <c r="B20" s="49" t="n">
        <f>B19*0.95</f>
        <v>12350</v>
      </c>
      <c r="C20" s="49">
        <f t="shared" si="1"/>
        <v>4212.722222</v>
      </c>
      <c r="D20" s="49">
        <f t="shared" si="2"/>
        <v>8137.277778</v>
      </c>
      <c r="E20" s="51">
        <f t="shared" si="3"/>
        <v>0.6588888889</v>
      </c>
      <c r="F20" s="3">
        <f t="shared" si="4"/>
        <v>50</v>
      </c>
      <c r="G20" s="49">
        <f t="shared" si="5"/>
        <v>617500</v>
      </c>
      <c r="H20" s="49">
        <f t="shared" si="6"/>
        <v>406863.8889</v>
      </c>
      <c r="I20" s="3"/>
      <c r="J20" s="3" t="n">
        <f>PRODUCTOS!B24</f>
        <v>0</v>
      </c>
      <c r="K20" s="3"/>
      <c r="L20" s="3"/>
      <c r="M20" s="3"/>
    </row>
    <row r="21" ht="15.75" customHeight="1">
      <c r="A21" s="3" t="s">
        <v>222</v>
      </c>
      <c r="B21" s="49" t="n">
        <f>B13</f>
        <v>10531.80556</v>
      </c>
      <c r="C21" s="49">
        <f t="shared" si="1"/>
        <v>4212.722222</v>
      </c>
      <c r="D21" s="49">
        <f t="shared" si="2"/>
        <v>6319.083333</v>
      </c>
      <c r="E21" s="51">
        <f t="shared" si="3"/>
        <v>0.6</v>
      </c>
      <c r="F21" s="3">
        <f t="shared" si="4"/>
        <v>50</v>
      </c>
      <c r="G21" s="49">
        <f t="shared" si="5"/>
        <v>526590.2778</v>
      </c>
      <c r="H21" s="49">
        <f t="shared" si="6"/>
        <v>315954.1667</v>
      </c>
      <c r="I21" s="3"/>
      <c r="J21" s="3" t="n">
        <f>PRODUCTOS!B25</f>
        <v>0</v>
      </c>
      <c r="K21" s="3"/>
      <c r="L21" s="3"/>
      <c r="M21" s="3"/>
    </row>
    <row r="22" ht="15.75" customHeight="1">
      <c r="A22" s="3" t="s">
        <v>231</v>
      </c>
      <c r="B22" s="49" t="n">
        <f>B21*1.05</f>
        <v>11058.395838</v>
      </c>
      <c r="C22" s="49">
        <f t="shared" si="1"/>
        <v>4212.722222</v>
      </c>
      <c r="D22" s="49">
        <f t="shared" si="2"/>
        <v>6845.673611</v>
      </c>
      <c r="E22" s="51">
        <f t="shared" si="3"/>
        <v>0.619047619</v>
      </c>
      <c r="F22" s="3">
        <f t="shared" si="4"/>
        <v>50</v>
      </c>
      <c r="G22" s="49">
        <f t="shared" si="5"/>
        <v>552919.7917</v>
      </c>
      <c r="H22" s="49">
        <f t="shared" si="6"/>
        <v>342283.6806</v>
      </c>
      <c r="I22" s="3"/>
      <c r="J22" s="3" t="n">
        <f>PRODUCTOS!B26</f>
        <v>0</v>
      </c>
      <c r="K22" s="3"/>
      <c r="L22" s="3"/>
      <c r="M22" s="3"/>
    </row>
    <row r="23" ht="15.75" customHeight="1">
      <c r="A23" s="3" t="s">
        <v>132</v>
      </c>
      <c r="B23" s="49" t="n">
        <f>B12</f>
        <v>10531.80556</v>
      </c>
      <c r="C23" s="49">
        <f t="shared" si="1"/>
        <v>4212.722222</v>
      </c>
      <c r="D23" s="49">
        <f t="shared" si="2"/>
        <v>6319.083333</v>
      </c>
      <c r="E23" s="51">
        <f t="shared" si="3"/>
        <v>0.6</v>
      </c>
      <c r="F23" s="3">
        <f t="shared" si="4"/>
        <v>50</v>
      </c>
      <c r="G23" s="49">
        <f t="shared" si="5"/>
        <v>526590.2778</v>
      </c>
      <c r="H23" s="49">
        <f t="shared" si="6"/>
        <v>315954.1667</v>
      </c>
      <c r="I23" s="3"/>
      <c r="J23" s="3" t="n">
        <f>PRODUCTOS!B27</f>
        <v>0</v>
      </c>
      <c r="K23" s="3"/>
      <c r="L23" s="3"/>
      <c r="M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 t="n">
        <f>PRODUCTOS!B28</f>
        <v>0</v>
      </c>
      <c r="K24" s="3"/>
      <c r="L24" s="3"/>
      <c r="M24" s="3"/>
    </row>
    <row r="25" ht="15.75" customHeight="1">
      <c r="A25" s="56" t="s">
        <v>232</v>
      </c>
      <c r="I25" s="3"/>
      <c r="J25" s="3" t="n">
        <f>PRODUCTOS!B29</f>
        <v>0</v>
      </c>
      <c r="K25" s="3"/>
      <c r="L25" s="3"/>
      <c r="M25" s="3"/>
    </row>
    <row r="26" ht="15.75" customHeight="1">
      <c r="I26" s="3"/>
      <c r="J26" s="3" t="n">
        <f>PRODUCTOS!B30</f>
        <v>0</v>
      </c>
      <c r="K26" s="3"/>
      <c r="L26" s="3"/>
      <c r="M26" s="3"/>
    </row>
    <row r="27" ht="15.75" customHeight="1">
      <c r="I27" s="3"/>
      <c r="J27" s="3" t="n">
        <f>PRODUCTOS!B31</f>
        <v>0</v>
      </c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 t="n">
        <f>PRODUCTOS!B32</f>
        <v>0</v>
      </c>
      <c r="K28" s="3"/>
      <c r="L28" s="3"/>
      <c r="M28" s="3"/>
    </row>
    <row r="29" ht="15.75" customHeight="1">
      <c r="A29" s="30" t="s">
        <v>233</v>
      </c>
      <c r="I29" s="3"/>
      <c r="J29" s="3" t="n">
        <f>PRODUCTOS!B33</f>
        <v>0</v>
      </c>
      <c r="K29" s="3"/>
      <c r="L29" s="3"/>
      <c r="M29" s="3"/>
    </row>
    <row r="30" ht="15.75" customHeight="1">
      <c r="A30" s="57" t="s">
        <v>234</v>
      </c>
      <c r="B30" s="57" t="s">
        <v>214</v>
      </c>
      <c r="C30" s="3"/>
      <c r="D30" s="58" t="s">
        <v>235</v>
      </c>
      <c r="I30" s="3"/>
      <c r="J30" s="3" t="n">
        <f>PRODUCTOS!B34</f>
        <v>0</v>
      </c>
      <c r="K30" s="3"/>
      <c r="L30" s="3"/>
      <c r="M30" s="3"/>
    </row>
    <row r="31" ht="15.75" customHeight="1">
      <c r="A31" s="3" t="s">
        <v>236</v>
      </c>
      <c r="B31" s="433" t="n">
        <f>B12*0.85</f>
        <v>8952.034726</v>
      </c>
      <c r="C31" s="3"/>
      <c r="I31" s="3"/>
      <c r="J31" s="3" t="n">
        <f>PRODUCTOS!B35</f>
        <v>0</v>
      </c>
      <c r="K31" s="3"/>
      <c r="L31" s="3"/>
      <c r="M31" s="3"/>
    </row>
    <row r="32" ht="15.75" customHeight="1">
      <c r="A32" s="3" t="s">
        <v>237</v>
      </c>
      <c r="B32" s="433">
        <v>12.0</v>
      </c>
      <c r="C32" s="3"/>
      <c r="I32" s="3"/>
      <c r="J32" s="3"/>
      <c r="K32" s="3"/>
      <c r="L32" s="3"/>
      <c r="M32" s="3"/>
    </row>
    <row r="33" ht="15.75" customHeight="1">
      <c r="A33" s="3" t="s">
        <v>238</v>
      </c>
      <c r="B33" s="49" t="n">
        <f>B31*B32</f>
        <v>107424.416712</v>
      </c>
      <c r="C33" s="3"/>
      <c r="I33" s="3"/>
      <c r="J33" s="3"/>
      <c r="K33" s="3"/>
      <c r="L33" s="3"/>
      <c r="M33" s="3"/>
    </row>
    <row r="34" ht="15.75" customHeight="1">
      <c r="A34" s="3" t="s">
        <v>239</v>
      </c>
      <c r="B34" s="49" t="n">
        <f>(B31-B8)*B32</f>
        <v>56871.750047999994</v>
      </c>
      <c r="C34" s="3"/>
      <c r="I34" s="3"/>
      <c r="J34" s="3"/>
      <c r="K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sheetProtection sheet="1" objects="1" scenarios="1" selectLockedCells="1" selectUnlockedCells="0"/>
  <mergeCells>
    <mergeCell ref="D12:G12"/>
    <mergeCell ref="A17:H17"/>
    <mergeCell ref="A25:H27"/>
    <mergeCell ref="A29:H29"/>
    <mergeCell ref="D30:H34"/>
    <mergeCell ref="A1:H2"/>
    <mergeCell ref="D6:H6"/>
    <mergeCell ref="D7:G7"/>
    <mergeCell ref="D8:G8"/>
    <mergeCell ref="D9:G9"/>
    <mergeCell ref="D10:G10"/>
    <mergeCell ref="D11:G11"/>
  </mergeCells>
  <dataValidations count="1">
    <dataValidation type="list" allowBlank="1" showInputMessage="1" showErrorMessage="1" prompt="Producto - Haz clic en la flecha para seleccionar un producto registrado." sqref="B4">
      <formula1>$J$2:$J$31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ColWidth="12.630000114440918" defaultRowHeight="15"/>
  <cols>
    <col min="1" max="1" width="22" customWidth="1"/>
    <col min="2" max="8" width="15" customWidth="1"/>
    <col min="9" max="26" width="8.630000114440918" customWidth="1"/>
  </cols>
  <sheetData>
    <row r="1">
      <c r="A1" s="42" t="s">
        <v>240</v>
      </c>
      <c r="I1" s="3"/>
      <c r="J1" s="3"/>
      <c r="K1" s="3"/>
      <c r="L1" s="3"/>
      <c r="M1" s="3"/>
    </row>
    <row r="2">
      <c r="I2" s="3"/>
      <c r="J2" s="3"/>
      <c r="K2" s="3"/>
      <c r="L2" s="3"/>
      <c r="M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7" t="s">
        <v>241</v>
      </c>
      <c r="B5" s="16" t="s">
        <v>242</v>
      </c>
      <c r="I5" s="3"/>
      <c r="J5" s="3"/>
      <c r="K5" s="3"/>
      <c r="L5" s="3"/>
      <c r="M5" s="3"/>
    </row>
    <row r="6">
      <c r="A6" s="7" t="s">
        <v>243</v>
      </c>
      <c r="B6" s="16" t="s">
        <v>244</v>
      </c>
      <c r="I6" s="3"/>
      <c r="J6" s="3"/>
      <c r="K6" s="3"/>
      <c r="L6" s="3"/>
      <c r="M6" s="3"/>
    </row>
    <row r="7">
      <c r="A7" s="7" t="s">
        <v>245</v>
      </c>
      <c r="B7" s="16" t="s">
        <v>246</v>
      </c>
      <c r="I7" s="3"/>
      <c r="J7" s="3"/>
      <c r="K7" s="3"/>
      <c r="L7" s="3"/>
      <c r="M7" s="3"/>
    </row>
    <row r="8">
      <c r="A8" s="7" t="s">
        <v>247</v>
      </c>
      <c r="B8" s="16" t="s">
        <v>248</v>
      </c>
      <c r="I8" s="3"/>
      <c r="J8" s="3"/>
      <c r="K8" s="3"/>
      <c r="L8" s="3"/>
      <c r="M8" s="3"/>
    </row>
    <row r="9">
      <c r="A9" s="7" t="s">
        <v>249</v>
      </c>
      <c r="B9" s="16" t="s">
        <v>250</v>
      </c>
      <c r="I9" s="3"/>
      <c r="J9" s="3"/>
      <c r="K9" s="3"/>
      <c r="L9" s="3"/>
      <c r="M9" s="3"/>
    </row>
    <row r="10">
      <c r="A10" s="7" t="s">
        <v>251</v>
      </c>
      <c r="B10" s="16" t="s">
        <v>252</v>
      </c>
      <c r="I10" s="3"/>
      <c r="J10" s="3"/>
      <c r="K10" s="3"/>
      <c r="L10" s="3"/>
      <c r="M10" s="3"/>
    </row>
    <row r="11">
      <c r="A11" s="7" t="s">
        <v>253</v>
      </c>
      <c r="B11" s="16" t="s">
        <v>254</v>
      </c>
      <c r="I11" s="3"/>
      <c r="J11" s="3"/>
      <c r="K11" s="3"/>
      <c r="L11" s="3"/>
      <c r="M11" s="3"/>
    </row>
    <row r="12">
      <c r="A12" s="7" t="s">
        <v>255</v>
      </c>
      <c r="B12" s="16" t="s">
        <v>256</v>
      </c>
      <c r="I12" s="3"/>
      <c r="J12" s="3"/>
      <c r="K12" s="3"/>
      <c r="L12" s="3"/>
      <c r="M12" s="3"/>
    </row>
    <row r="13">
      <c r="A13" s="60" t="s">
        <v>257</v>
      </c>
      <c r="B13" s="61" t="s">
        <v>258</v>
      </c>
      <c r="I13" s="3"/>
      <c r="J13" s="3"/>
      <c r="K13" s="3"/>
      <c r="L13" s="3"/>
      <c r="M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62" t="s">
        <v>259</v>
      </c>
      <c r="B15" s="61" t="s">
        <v>260</v>
      </c>
      <c r="I15" s="3"/>
      <c r="J15" s="3"/>
      <c r="K15" s="3"/>
      <c r="L15" s="3"/>
      <c r="M15" s="3"/>
    </row>
    <row r="16">
      <c r="A16" s="62" t="s">
        <v>261</v>
      </c>
      <c r="B16" s="61" t="s">
        <v>262</v>
      </c>
      <c r="I16" s="3"/>
      <c r="J16" s="3"/>
      <c r="K16" s="3"/>
      <c r="L16" s="3"/>
      <c r="M16" s="3"/>
    </row>
    <row r="17">
      <c r="A17" s="62" t="s">
        <v>263</v>
      </c>
      <c r="B17" s="61" t="s">
        <v>264</v>
      </c>
      <c r="I17" s="3"/>
      <c r="J17" s="3"/>
      <c r="K17" s="3"/>
      <c r="L17" s="3"/>
      <c r="M17" s="3"/>
    </row>
    <row r="18">
      <c r="A18" s="62" t="s">
        <v>265</v>
      </c>
      <c r="B18" s="61" t="s">
        <v>266</v>
      </c>
      <c r="I18" s="3"/>
      <c r="J18" s="3"/>
      <c r="K18" s="3"/>
      <c r="L18" s="3"/>
      <c r="M18" s="3"/>
    </row>
    <row r="19">
      <c r="A19" s="62" t="s">
        <v>267</v>
      </c>
      <c r="B19" s="61" t="s">
        <v>268</v>
      </c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250" t="str">
        <v>IMPORTANTE</v>
      </c>
      <c r="B21" s="250"/>
      <c r="C21" s="250"/>
      <c r="D21" s="250"/>
      <c r="E21" s="250"/>
      <c r="F21" s="250"/>
      <c r="G21" s="250"/>
      <c r="H21" s="250"/>
      <c r="I21" s="3"/>
      <c r="J21" s="3"/>
      <c r="K21" s="3"/>
      <c r="L21" s="3"/>
      <c r="M21" s="3"/>
    </row>
    <row r="22" ht="15.75" customHeight="1">
      <c r="A22" s="291" t="str">
        <v>Esta calculadora trabaja con los datos que tú registras. Revisa periódicamente precios de compra, cantidades, costos asociados y precios de venta. Los resultados son una herramienta de apoyo para la toma de decisiones.</v>
      </c>
      <c r="B22" s="291"/>
      <c r="C22" s="291"/>
      <c r="D22" s="291"/>
      <c r="E22" s="291"/>
      <c r="F22" s="291"/>
      <c r="G22" s="291"/>
      <c r="H22" s="291"/>
      <c r="I22" s="3"/>
      <c r="J22" s="3"/>
      <c r="K22" s="3"/>
      <c r="L22" s="3"/>
      <c r="M22" s="3"/>
    </row>
    <row r="23" ht="15.75" customHeight="1">
      <c r="A23" s="291"/>
      <c r="B23" s="291"/>
      <c r="C23" s="291"/>
      <c r="D23" s="291"/>
      <c r="E23" s="291"/>
      <c r="F23" s="291"/>
      <c r="G23" s="291"/>
      <c r="H23" s="291"/>
      <c r="I23" s="3"/>
      <c r="J23" s="3"/>
      <c r="K23" s="3"/>
      <c r="L23" s="3"/>
      <c r="M23" s="3"/>
    </row>
    <row r="24" ht="15.75" customHeight="1">
      <c r="A24" s="291"/>
      <c r="B24" s="291"/>
      <c r="C24" s="291"/>
      <c r="D24" s="291"/>
      <c r="E24" s="291"/>
      <c r="F24" s="291"/>
      <c r="G24" s="291"/>
      <c r="H24" s="291"/>
      <c r="I24" s="3"/>
      <c r="J24" s="3"/>
      <c r="K24" s="3"/>
      <c r="L24" s="3"/>
      <c r="M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sheetProtection sheet="1" objects="1" scenarios="1" selectLockedCells="1" selectUnlockedCells="0"/>
  <mergeCells>
    <mergeCell ref="B11:H11"/>
    <mergeCell ref="B12:H12"/>
    <mergeCell ref="B13:H13"/>
    <mergeCell ref="B15:H15"/>
    <mergeCell ref="B16:H16"/>
    <mergeCell ref="B17:H17"/>
    <mergeCell ref="B18:H18"/>
    <mergeCell ref="B19:H19"/>
    <mergeCell ref="A1:H2"/>
    <mergeCell ref="B5:H5"/>
    <mergeCell ref="B6:H6"/>
    <mergeCell ref="B7:H7"/>
    <mergeCell ref="B8:H8"/>
    <mergeCell ref="B9:H9"/>
    <mergeCell ref="B10:H10"/>
    <mergeCell ref="A21:H21"/>
    <mergeCell ref="A22:H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ColWidth="12.630000114440918" defaultRowHeight="15"/>
  <cols>
    <col min="1" max="1" width="29" customWidth="1"/>
    <col min="2" max="2" width="23" customWidth="1"/>
    <col min="3" max="3" width="19" customWidth="1"/>
    <col min="4" max="4" width="28" customWidth="1"/>
    <col min="5" max="5" width="27" customWidth="1"/>
    <col min="6" max="6" width="20" customWidth="1"/>
    <col min="7" max="7" width="18" customWidth="1"/>
    <col min="8" max="8" width="22" customWidth="1"/>
    <col min="9" max="26" width="8.630000114440918" customWidth="1"/>
  </cols>
  <sheetData>
    <row r="1">
      <c r="A1" s="63" t="s">
        <v>269</v>
      </c>
    </row>
    <row r="3" ht="39.75" customHeight="1">
      <c r="A3" s="64" t="s">
        <v>270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1"/>
      <c r="C4" s="41"/>
      <c r="D4" s="41"/>
      <c r="E4" s="41"/>
      <c r="F4" s="41"/>
      <c r="G4" s="41"/>
      <c r="H4" s="41"/>
    </row>
    <row r="5">
      <c r="A5" s="65" t="s">
        <v>271</v>
      </c>
      <c r="E5" s="66" t="s">
        <v>272</v>
      </c>
    </row>
    <row r="6">
      <c r="A6" s="41"/>
      <c r="B6" s="41"/>
      <c r="C6" s="41"/>
      <c r="D6" s="41"/>
      <c r="E6" s="41"/>
      <c r="F6" s="41"/>
      <c r="G6" s="41"/>
      <c r="H6" s="41"/>
    </row>
    <row r="7">
      <c r="A7" s="67" t="s">
        <v>273</v>
      </c>
      <c r="B7" s="442">
        <v>10.0</v>
      </c>
      <c r="C7" s="41"/>
      <c r="D7" s="41"/>
      <c r="E7" s="67" t="s">
        <v>274</v>
      </c>
      <c r="F7" s="442">
        <v>20.0</v>
      </c>
      <c r="G7" s="41"/>
      <c r="H7" s="41"/>
    </row>
    <row r="8">
      <c r="A8" s="67" t="s">
        <v>275</v>
      </c>
      <c r="B8" s="442">
        <v>15.0</v>
      </c>
      <c r="C8" s="41"/>
      <c r="D8" s="41"/>
      <c r="E8" s="67" t="s">
        <v>276</v>
      </c>
      <c r="F8" s="442">
        <v>20.0</v>
      </c>
      <c r="G8" s="41"/>
      <c r="H8" s="41"/>
    </row>
    <row r="9">
      <c r="A9" s="41"/>
      <c r="B9" s="41"/>
      <c r="C9" s="41"/>
      <c r="D9" s="41"/>
      <c r="E9" s="41"/>
      <c r="F9" s="41"/>
      <c r="G9" s="41"/>
      <c r="H9" s="41"/>
    </row>
    <row r="10">
      <c r="A10" s="67" t="s">
        <v>277</v>
      </c>
      <c r="B10" s="69" t="n">
        <f>IFERROR(B7/B8,0)</f>
        <v>0.6666666666666666</v>
      </c>
      <c r="C10" s="41"/>
      <c r="D10" s="41"/>
      <c r="E10" s="67" t="s">
        <v>278</v>
      </c>
      <c r="F10" s="69" t="n">
        <f>IFERROR(F7/F8,0)</f>
        <v>1</v>
      </c>
      <c r="G10" s="41"/>
      <c r="H10" s="41"/>
    </row>
    <row r="11">
      <c r="A11" s="67" t="s">
        <v>279</v>
      </c>
      <c r="B11" s="69" t="n">
        <f>B10*3</f>
        <v>2</v>
      </c>
      <c r="C11" s="41"/>
      <c r="D11" s="41"/>
      <c r="E11" s="41"/>
      <c r="F11" s="41"/>
      <c r="G11" s="41"/>
      <c r="H11" s="41"/>
    </row>
    <row r="12">
      <c r="A12" s="41"/>
      <c r="B12" s="41"/>
      <c r="C12" s="41"/>
      <c r="D12" s="41"/>
      <c r="E12" s="67" t="s">
        <v>280</v>
      </c>
      <c r="F12" s="442">
        <v>1.0</v>
      </c>
      <c r="G12" s="41"/>
      <c r="H12" s="41"/>
    </row>
    <row r="13">
      <c r="A13" s="70" t="s">
        <v>281</v>
      </c>
      <c r="E13" s="67" t="s">
        <v>282</v>
      </c>
      <c r="F13" s="69" t="n">
        <f>F12*F8</f>
        <v>20</v>
      </c>
      <c r="G13" s="41"/>
      <c r="H13" s="41"/>
    </row>
    <row r="14">
      <c r="E14" s="41"/>
      <c r="F14" s="41"/>
      <c r="G14" s="41"/>
      <c r="H14" s="41"/>
    </row>
    <row r="15">
      <c r="E15" s="70" t="s">
        <v>283</v>
      </c>
    </row>
    <row r="17">
      <c r="A17" s="41"/>
      <c r="B17" s="41"/>
      <c r="C17" s="41"/>
      <c r="D17" s="41"/>
    </row>
    <row r="18">
      <c r="A18" s="41"/>
      <c r="B18" s="41"/>
      <c r="C18" s="41"/>
      <c r="D18" s="41"/>
    </row>
    <row r="19">
      <c r="A19" s="41"/>
      <c r="B19" s="41"/>
      <c r="C19" s="41"/>
      <c r="D19" s="41"/>
      <c r="E19" s="41"/>
      <c r="F19" s="41"/>
      <c r="G19" s="41"/>
      <c r="H19" s="41"/>
    </row>
    <row r="20">
      <c r="A20" s="71" t="s">
        <v>284</v>
      </c>
    </row>
    <row r="21" ht="15.75" customHeight="1">
      <c r="A21" s="72" t="s">
        <v>285</v>
      </c>
      <c r="B21" s="72" t="s">
        <v>286</v>
      </c>
      <c r="C21" s="72" t="s">
        <v>287</v>
      </c>
      <c r="D21" s="72" t="s">
        <v>288</v>
      </c>
      <c r="E21" s="73" t="s">
        <v>289</v>
      </c>
    </row>
    <row r="22" ht="15.75" customHeight="1">
      <c r="A22" s="442"/>
      <c r="B22" s="442"/>
      <c r="C22" s="442"/>
      <c r="D22" s="442"/>
    </row>
    <row r="23" ht="15.75" customHeight="1">
      <c r="A23" s="442"/>
      <c r="B23" s="442"/>
      <c r="C23" s="442"/>
      <c r="D23" s="442"/>
    </row>
    <row r="24" ht="15.75" customHeight="1">
      <c r="A24" s="442"/>
      <c r="B24" s="442"/>
      <c r="C24" s="442"/>
      <c r="D24" s="442"/>
      <c r="E24" s="41"/>
      <c r="F24" s="41"/>
      <c r="G24" s="41"/>
      <c r="H24" s="41"/>
    </row>
    <row r="25" ht="15.75" customHeight="1">
      <c r="A25" s="442"/>
      <c r="B25" s="442"/>
      <c r="C25" s="442"/>
      <c r="D25" s="442"/>
      <c r="E25" s="74" t="s">
        <v>290</v>
      </c>
    </row>
    <row r="26" ht="15.75" customHeight="1">
      <c r="A26" s="442"/>
      <c r="B26" s="442"/>
      <c r="C26" s="442"/>
      <c r="D26" s="442"/>
      <c r="E26" s="41"/>
      <c r="F26" s="41"/>
      <c r="G26" s="41"/>
      <c r="H26" s="41"/>
    </row>
    <row r="27" ht="15.75" customHeight="1">
      <c r="A27" s="442"/>
      <c r="B27" s="442"/>
      <c r="C27" s="442"/>
      <c r="D27" s="442"/>
      <c r="E27" s="75" t="s">
        <v>291</v>
      </c>
      <c r="F27" s="442">
        <v>500.0</v>
      </c>
      <c r="G27" s="41"/>
      <c r="H27" s="41"/>
    </row>
    <row r="28" ht="15.75" customHeight="1">
      <c r="A28" s="442"/>
      <c r="B28" s="442"/>
      <c r="C28" s="442"/>
      <c r="D28" s="442"/>
      <c r="E28" s="75" t="s">
        <v>292</v>
      </c>
      <c r="F28" s="450">
        <v>0.015</v>
      </c>
      <c r="G28" s="41"/>
      <c r="H28" s="41"/>
    </row>
    <row r="29" ht="15.75" customHeight="1">
      <c r="A29" s="442"/>
      <c r="B29" s="442"/>
      <c r="C29" s="442"/>
      <c r="D29" s="442"/>
      <c r="E29" s="75" t="s">
        <v>293</v>
      </c>
      <c r="F29" s="77" t="n">
        <f>F27*F28</f>
        <v>7.5</v>
      </c>
      <c r="G29" s="41"/>
      <c r="H29" s="41"/>
    </row>
    <row r="30" ht="15.75" customHeight="1">
      <c r="A30" s="442"/>
      <c r="B30" s="442"/>
      <c r="C30" s="442"/>
      <c r="D30" s="442"/>
      <c r="E30" s="75" t="s">
        <v>294</v>
      </c>
      <c r="F30" s="78" t="s">
        <v>295</v>
      </c>
      <c r="G30" s="41"/>
      <c r="H30" s="41"/>
    </row>
    <row r="31" ht="15.75" customHeight="1">
      <c r="A31" s="442"/>
      <c r="B31" s="442"/>
      <c r="C31" s="442"/>
      <c r="D31" s="442"/>
      <c r="E31" s="41"/>
      <c r="F31" s="41"/>
      <c r="G31" s="41"/>
      <c r="H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</row>
  </sheetData>
  <sheetProtection sheet="1" objects="1" scenarios="1" selectLockedCells="1" selectUnlockedCells="0"/>
  <mergeCells>
    <mergeCell ref="E21:H23"/>
    <mergeCell ref="E25:H25"/>
    <mergeCell ref="A1:H2"/>
    <mergeCell ref="A3:H3"/>
    <mergeCell ref="A5:D5"/>
    <mergeCell ref="E5:H5"/>
    <mergeCell ref="A13:D16"/>
    <mergeCell ref="E15:H18"/>
    <mergeCell ref="A20:H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ColWidth="12.630000114440918" defaultRowHeight="15"/>
  <cols>
    <col min="1" max="1" width="32" customWidth="1"/>
    <col min="2" max="2" width="18" customWidth="1"/>
    <col min="3" max="26" width="8.630000114440918" customWidth="1"/>
  </cols>
  <sheetData>
    <row r="1">
      <c r="A1" s="79" t="s">
        <v>296</v>
      </c>
    </row>
    <row r="4">
      <c r="A4" s="74" t="s">
        <v>213</v>
      </c>
      <c r="B4" s="74" t="s">
        <v>297</v>
      </c>
      <c r="D4" s="80" t="s">
        <v>298</v>
      </c>
    </row>
    <row r="5">
      <c r="A5" s="78" t="s">
        <v>299</v>
      </c>
      <c r="B5" s="81" t="n">
        <f>COUNTIF(PRODUCTOS!B6:B35,"&lt;&gt;")</f>
        <v>4</v>
      </c>
    </row>
    <row r="6">
      <c r="A6" s="78" t="s">
        <v>300</v>
      </c>
      <c r="B6" s="81" t="n">
        <f>COUNTIF(PRODUCTOS!G6:G35,"&gt;0")</f>
        <v>3</v>
      </c>
    </row>
    <row r="7">
      <c r="A7" s="78" t="s">
        <v>301</v>
      </c>
      <c r="B7" s="81" t="n">
        <f>COUNTIF('RESUMEN PRODUCTOS'!K6:K35,"Revisar: bajo costo")</f>
        <v>0</v>
      </c>
    </row>
    <row r="8">
      <c r="A8" s="78" t="s">
        <v>302</v>
      </c>
      <c r="B8" s="81" t="n">
        <f>COUNTIF('RESUMEN PRODUCTOS'!K6:K35,"Por debajo del sugerido")</f>
        <v>0</v>
      </c>
    </row>
    <row r="10">
      <c r="A10" s="273" t="str">
        <v>AYRU ORGANIC · CALCULADORA PRO 1.0 · VERSIÓN COMERCIAL</v>
      </c>
      <c r="B10" s="273"/>
      <c r="C10" s="273"/>
      <c r="D10" s="273"/>
      <c r="E10" s="273"/>
      <c r="F10" s="273"/>
      <c r="G10" s="273"/>
      <c r="H10" s="2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 selectLockedCells="1" selectUnlockedCells="0"/>
  <mergeCells>
    <mergeCell ref="A1:H2"/>
    <mergeCell ref="D4:H8"/>
    <mergeCell ref="A10:H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FormatPr defaultRowHeight="15"/>
  <cols>
    <col min="1" max="1" width="15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</cols>
  <sheetData>
    <row r="1">
      <c r="A1" s="263" t="str">
        <v>BIENVENIDA · CALCULADORA AYRU ORGANIC PRO 1.0</v>
      </c>
      <c r="B1" s="263"/>
      <c r="C1" s="263"/>
      <c r="D1" s="263"/>
      <c r="E1" s="263"/>
      <c r="F1" s="263"/>
      <c r="G1" s="263"/>
      <c r="H1" s="263"/>
    </row>
    <row r="2">
      <c r="A2" s="263"/>
      <c r="B2" s="263"/>
      <c r="C2" s="263"/>
      <c r="D2" s="263"/>
      <c r="E2" s="263"/>
      <c r="F2" s="263"/>
      <c r="G2" s="263"/>
      <c r="H2" s="263"/>
    </row>
    <row r="4">
      <c r="A4" s="253" t="str">
        <v>ANTES DE COMENZAR</v>
      </c>
      <c r="B4" s="253"/>
      <c r="C4" s="253"/>
      <c r="D4" s="253"/>
      <c r="E4" s="253"/>
      <c r="F4" s="253"/>
      <c r="G4" s="253"/>
      <c r="H4" s="253"/>
    </row>
    <row r="6">
      <c r="A6" s="266" t="str">
        <v>1. Registra o actualiza tus insumos en MATERIAS PRIMAS.</v>
      </c>
      <c r="B6" s="266"/>
      <c r="C6" s="266"/>
      <c r="D6" s="266"/>
      <c r="E6" s="266"/>
      <c r="F6" s="266"/>
      <c r="G6" s="266"/>
      <c r="H6" s="266"/>
    </row>
    <row r="7">
      <c r="A7" s="270" t="str">
        <v>2. Crea el producto en PRODUCTOS y define unidades, peso, precio actual y margen deseado.</v>
      </c>
      <c r="B7" s="270"/>
      <c r="C7" s="270"/>
      <c r="D7" s="270"/>
      <c r="E7" s="270"/>
      <c r="F7" s="270"/>
      <c r="G7" s="270"/>
      <c r="H7" s="270"/>
    </row>
    <row r="8">
      <c r="A8" s="266" t="str">
        <v>3. Construye su fórmula en RECETAS.</v>
      </c>
      <c r="B8" s="266"/>
      <c r="C8" s="266"/>
      <c r="D8" s="266"/>
      <c r="E8" s="266"/>
      <c r="F8" s="266"/>
      <c r="G8" s="266"/>
      <c r="H8" s="266"/>
    </row>
    <row r="9">
      <c r="A9" s="270" t="str">
        <v>4. Registra empaque, etiqueta, mano de obra y demás gastos en OTROS COSTOS.</v>
      </c>
      <c r="B9" s="270"/>
      <c r="C9" s="270"/>
      <c r="D9" s="270"/>
      <c r="E9" s="270"/>
      <c r="F9" s="270"/>
      <c r="G9" s="270"/>
      <c r="H9" s="270"/>
    </row>
    <row r="10">
      <c r="A10" s="266" t="str">
        <v>5. Consulta RESUMEN PRODUCTOS y PANEL GENERAL.</v>
      </c>
      <c r="B10" s="266"/>
      <c r="C10" s="266"/>
      <c r="D10" s="266"/>
      <c r="E10" s="266"/>
      <c r="F10" s="266"/>
      <c r="G10" s="266"/>
      <c r="H10" s="266"/>
    </row>
    <row r="11">
      <c r="A11" s="270" t="str">
        <v>6. Selecciona el producto en SIMULADOR para probar precios, cantidades y escenario mayorista.</v>
      </c>
      <c r="B11" s="270"/>
      <c r="C11" s="270"/>
      <c r="D11" s="270"/>
      <c r="E11" s="270"/>
      <c r="F11" s="270"/>
      <c r="G11" s="270"/>
      <c r="H11" s="270"/>
    </row>
    <row r="12">
      <c r="A12" s="266" t="str">
        <v>7. Utiliza CONVERSIONES para cálculos prácticos de formulación.</v>
      </c>
      <c r="B12" s="266"/>
      <c r="C12" s="266"/>
      <c r="D12" s="266"/>
      <c r="E12" s="266"/>
      <c r="F12" s="266"/>
      <c r="G12" s="266"/>
      <c r="H12" s="266"/>
    </row>
    <row r="14">
      <c r="A14" s="273" t="str">
        <v>CÓDIGO VISUAL</v>
      </c>
      <c r="B14" s="273"/>
      <c r="C14" s="273"/>
      <c r="D14" s="273"/>
      <c r="E14" s="273"/>
      <c r="F14" s="273"/>
      <c r="G14" s="273"/>
      <c r="H14" s="273"/>
    </row>
    <row r="15">
      <c r="A15" s="278" t="str">
        <v>CELDAS DE CAPTURA
Escribe o selecciona información únicamente en las celdas habilitadas.</v>
      </c>
      <c r="B15" s="278"/>
      <c r="C15" s="278"/>
      <c r="D15" s="278"/>
      <c r="E15" s="282" t="str">
        <v>CELDAS AUTOMÁTICAS
Las fórmulas están protegidas para evitar modificaciones accidentales.</v>
      </c>
      <c r="F15" s="282"/>
      <c r="G15" s="282"/>
      <c r="H15" s="282"/>
    </row>
    <row r="16">
      <c r="A16" s="278"/>
      <c r="B16" s="278"/>
      <c r="C16" s="278"/>
      <c r="D16" s="278"/>
      <c r="E16" s="282"/>
      <c r="F16" s="282"/>
      <c r="G16" s="282"/>
      <c r="H16" s="282"/>
    </row>
    <row r="18">
      <c r="A18" s="253" t="str">
        <v>LICENCIA DE USO</v>
      </c>
      <c r="B18" s="253"/>
      <c r="C18" s="253"/>
      <c r="D18" s="253"/>
      <c r="E18" s="253"/>
      <c r="F18" s="253"/>
      <c r="G18" s="253"/>
      <c r="H18" s="253"/>
    </row>
    <row r="19">
      <c r="A19" s="284" t="str">
        <v>Producto digital de AYRU ORGANIC. Licencia para uso personal o interno del comprador. No se autoriza su reventa, redistribución, publicación, entrega a terceros ni comercialización total o parcial de la plantilla. La compra corresponde a la versión entregada; no incluye compromiso de actualizaciones futuras. Se recomienda conservar una copia original sin diligenciar antes de comenzar a trabajar.</v>
      </c>
      <c r="B19" s="284"/>
      <c r="C19" s="284"/>
      <c r="D19" s="284"/>
      <c r="E19" s="284"/>
      <c r="F19" s="284"/>
      <c r="G19" s="284"/>
      <c r="H19" s="284"/>
    </row>
    <row r="20">
      <c r="A20" s="284"/>
      <c r="B20" s="284"/>
      <c r="C20" s="284"/>
      <c r="D20" s="284"/>
      <c r="E20" s="284"/>
      <c r="F20" s="284"/>
      <c r="G20" s="284"/>
      <c r="H20" s="284"/>
    </row>
    <row r="21">
      <c r="A21" s="284"/>
      <c r="B21" s="284"/>
      <c r="C21" s="284"/>
      <c r="D21" s="284"/>
      <c r="E21" s="284"/>
      <c r="F21" s="284"/>
      <c r="G21" s="284"/>
      <c r="H21" s="284"/>
    </row>
    <row r="22">
      <c r="A22" s="284"/>
      <c r="B22" s="284"/>
      <c r="C22" s="284"/>
      <c r="D22" s="284"/>
      <c r="E22" s="284"/>
      <c r="F22" s="284"/>
      <c r="G22" s="284"/>
      <c r="H22" s="284"/>
    </row>
    <row r="23">
      <c r="A23" s="284"/>
      <c r="B23" s="284"/>
      <c r="C23" s="284"/>
      <c r="D23" s="284"/>
      <c r="E23" s="284"/>
      <c r="F23" s="284"/>
      <c r="G23" s="284"/>
      <c r="H23" s="284"/>
    </row>
    <row r="25">
      <c r="A25" s="273" t="str">
        <v>SOPORTE DE LA HERRAMIENTA</v>
      </c>
      <c r="B25" s="273"/>
      <c r="C25" s="273"/>
      <c r="D25" s="273"/>
      <c r="E25" s="273"/>
      <c r="F25" s="273"/>
      <c r="G25" s="273"/>
      <c r="H25" s="273"/>
    </row>
    <row r="26">
      <c r="A26" s="282" t="str">
        <v>AYRU ORGANIC · Instagram: @ayruorganic_ · WhatsApp: 314 682 9261 · ayruorganic@gmail.com
Al solicitar soporte, indica “Calculadora PRO 1.0” y describe la dificultad encontrada.</v>
      </c>
      <c r="B26" s="282"/>
      <c r="C26" s="282"/>
      <c r="D26" s="282"/>
      <c r="E26" s="282"/>
      <c r="F26" s="282"/>
      <c r="G26" s="282"/>
      <c r="H26" s="282"/>
    </row>
    <row r="27">
      <c r="A27" s="282"/>
      <c r="B27" s="282"/>
      <c r="C27" s="282"/>
      <c r="D27" s="282"/>
      <c r="E27" s="282"/>
      <c r="F27" s="282"/>
      <c r="G27" s="282"/>
      <c r="H27" s="282"/>
    </row>
    <row r="28">
      <c r="A28" s="282"/>
      <c r="B28" s="282"/>
      <c r="C28" s="282"/>
      <c r="D28" s="282"/>
      <c r="E28" s="282"/>
      <c r="F28" s="282"/>
      <c r="G28" s="282"/>
      <c r="H28" s="282"/>
    </row>
    <row r="29">
      <c r="A29" s="282"/>
      <c r="B29" s="282"/>
      <c r="C29" s="282"/>
      <c r="D29" s="282"/>
      <c r="E29" s="282"/>
      <c r="F29" s="282"/>
      <c r="G29" s="282"/>
      <c r="H29" s="282"/>
    </row>
  </sheetData>
  <sheetProtection sheet="1" objects="1" scenarios="1" selectLockedCells="1" selectUnlockedCells="0"/>
  <mergeCells>
    <mergeCell ref="A1:H2"/>
    <mergeCell ref="A4:H4"/>
    <mergeCell ref="A6:H6"/>
    <mergeCell ref="A7:H7"/>
    <mergeCell ref="A8:H8"/>
    <mergeCell ref="A9:H9"/>
    <mergeCell ref="A10:H10"/>
    <mergeCell ref="A11:H11"/>
    <mergeCell ref="A12:H12"/>
    <mergeCell ref="A14:H14"/>
    <mergeCell ref="A15:D16"/>
    <mergeCell ref="E15:H16"/>
    <mergeCell ref="A18:H18"/>
    <mergeCell ref="A19:H23"/>
    <mergeCell ref="A25:H25"/>
    <mergeCell ref="A26:H29"/>
  </mergeCells>
  <pageMargins left="0.7" right="0.7" top="0.75" bottom="0.75" header="0.3" footer="0.3"/>
</worksheet>
</file>